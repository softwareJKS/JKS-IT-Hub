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600" windowWidth="38400" windowHeight="19700" tabRatio="600" firstSheet="0" activeTab="1" autoFilterDateGrouping="1"/>
  </bookViews>
  <sheets>
    <sheet xmlns:r="http://schemas.openxmlformats.org/officeDocument/2006/relationships" name="active-user" sheetId="1" state="visible" r:id="rId1"/>
    <sheet xmlns:r="http://schemas.openxmlformats.org/officeDocument/2006/relationships" name="2026 IT Arrangement" sheetId="2" state="visible" r:id="rId2"/>
    <sheet xmlns:r="http://schemas.openxmlformats.org/officeDocument/2006/relationships" name="User by Dept (2026 vs 2019)" sheetId="3" state="visible" r:id="rId3"/>
  </sheets>
  <definedNames>
    <definedName name="_xlnm._FilterDatabase" localSheetId="0" hidden="1">'active-user'!$A$1:$K$114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32">
    <font>
      <name val="Aptos Narrow"/>
      <family val="2"/>
      <color theme="1"/>
      <sz val="12"/>
      <scheme val="minor"/>
    </font>
    <font>
      <name val="Segoe UI"/>
      <b val="1"/>
      <color rgb="FFFFFFFF"/>
      <sz val="14"/>
    </font>
    <font>
      <name val="Segoe UI"/>
      <i val="1"/>
      <color rgb="FFD9D9D9"/>
      <sz val="9.5"/>
    </font>
    <font>
      <name val="Segoe UI"/>
      <b val="1"/>
      <color rgb="FF1F4E79"/>
      <sz val="11"/>
    </font>
    <font>
      <name val="Segoe UI"/>
      <b val="1"/>
      <color rgb="FFFFFFFF"/>
      <sz val="9.5"/>
    </font>
    <font>
      <name val="Segoe UI"/>
      <b val="1"/>
      <color rgb="FF000000"/>
      <sz val="9"/>
    </font>
    <font>
      <name val="Segoe UI"/>
      <b val="1"/>
      <color rgb="FF375623"/>
      <sz val="9"/>
    </font>
    <font>
      <name val="Segoe UI"/>
      <b val="1"/>
      <color rgb="FF1F4E79"/>
      <sz val="9"/>
    </font>
    <font>
      <name val="Segoe UI"/>
      <b val="1"/>
      <color rgb="FFB25900"/>
      <sz val="9"/>
    </font>
    <font>
      <name val="Segoe UI"/>
      <b val="1"/>
      <color rgb="FF375623"/>
      <sz val="8.5"/>
    </font>
    <font>
      <name val="Segoe UI"/>
      <b val="1"/>
      <color rgb="FF7F6000"/>
      <sz val="9.5"/>
    </font>
    <font>
      <name val="Segoe UI"/>
      <b val="1"/>
      <color rgb="FF1F4E79"/>
      <sz val="9.5"/>
    </font>
    <font>
      <name val="Segoe UI"/>
      <color rgb="FF000000"/>
      <sz val="9"/>
    </font>
    <font>
      <name val="Segoe UI"/>
      <b val="1"/>
      <color rgb="FFC00000"/>
      <sz val="9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sz val="10"/>
    </font>
    <font>
      <name val="Calibri"/>
      <b val="1"/>
      <sz val="11"/>
      <u val="single"/>
    </font>
    <font>
      <name val="Segoe UI"/>
      <b val="1"/>
      <color rgb="00FFFFFF"/>
      <sz val="14"/>
    </font>
    <font>
      <name val="Segoe UI"/>
      <i val="1"/>
      <color rgb="00D9D9D9"/>
      <sz val="9.5"/>
    </font>
    <font>
      <name val="Segoe UI"/>
      <b val="1"/>
      <color rgb="001F4E79"/>
      <sz val="11"/>
    </font>
    <font>
      <name val="Segoe UI"/>
      <b val="1"/>
      <color rgb="00FFFFFF"/>
      <sz val="9.5"/>
    </font>
    <font>
      <name val="Segoe UI"/>
      <b val="1"/>
      <color rgb="00000000"/>
      <sz val="9"/>
    </font>
    <font>
      <name val="Segoe UI"/>
      <b val="1"/>
      <color rgb="00375623"/>
      <sz val="9"/>
    </font>
    <font>
      <name val="Segoe UI"/>
      <b val="1"/>
      <color rgb="001F4E79"/>
      <sz val="9"/>
    </font>
    <font>
      <name val="Segoe UI"/>
      <b val="1"/>
      <color rgb="00B25900"/>
      <sz val="9"/>
    </font>
    <font>
      <name val="Segoe UI"/>
      <b val="1"/>
      <color rgb="00375623"/>
      <sz val="8.5"/>
    </font>
    <font>
      <name val="Segoe UI"/>
      <b val="1"/>
      <color rgb="007F6000"/>
      <sz val="9.5"/>
    </font>
    <font>
      <name val="Segoe UI"/>
      <b val="1"/>
      <color rgb="001F4E79"/>
      <sz val="9.5"/>
    </font>
    <font>
      <name val="Segoe UI"/>
      <color rgb="00000000"/>
      <sz val="9"/>
    </font>
    <font>
      <name val="Segoe UI"/>
      <b val="1"/>
      <color rgb="00C00000"/>
      <sz val="9"/>
    </font>
  </fonts>
  <fills count="31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E599"/>
        <bgColor rgb="FFFFE599"/>
      </patternFill>
    </fill>
    <fill>
      <patternFill patternType="solid">
        <fgColor rgb="FFE7EEF8"/>
        <bgColor rgb="FFE7EEF8"/>
      </patternFill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rgb="FFE6E6E6"/>
        <bgColor rgb="FFE6E6E6"/>
      </patternFill>
    </fill>
    <fill>
      <patternFill patternType="solid">
        <fgColor rgb="FFC6E0B4"/>
        <bgColor rgb="FFC6E0B4"/>
      </patternFill>
    </fill>
    <fill>
      <patternFill patternType="solid">
        <fgColor rgb="FFDEEBF7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00C6E0B4"/>
        <bgColor rgb="00C6E0B4"/>
      </patternFill>
    </fill>
    <fill>
      <patternFill patternType="solid">
        <fgColor rgb="00F2F2F2"/>
        <bgColor rgb="00F2F2F2"/>
      </patternFill>
    </fill>
    <fill>
      <patternFill patternType="solid">
        <fgColor rgb="00DEEBF7"/>
        <bgColor rgb="00DEEBF7"/>
      </patternFill>
    </fill>
    <fill>
      <patternFill patternType="solid">
        <fgColor rgb="00E6E6E6"/>
        <bgColor rgb="00E6E6E6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E7EEF8"/>
        <bgColor rgb="00E7EEF8"/>
      </patternFill>
    </fill>
    <fill>
      <patternFill patternType="solid">
        <fgColor rgb="00D9D9D9"/>
        <bgColor rgb="00D9D9D9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FE599"/>
        <bgColor rgb="00FFE599"/>
      </patternFill>
    </fill>
  </fills>
  <borders count="3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3" fontId="0" fillId="7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5" fillId="8" borderId="3" applyAlignment="1" pivotButton="0" quotePrefix="0" xfId="0">
      <alignment horizontal="center" vertical="center"/>
    </xf>
    <xf numFmtId="0" fontId="5" fillId="8" borderId="3" pivotButton="0" quotePrefix="0" xfId="0"/>
    <xf numFmtId="0" fontId="0" fillId="8" borderId="3" applyAlignment="1" pivotButton="0" quotePrefix="0" xfId="0">
      <alignment horizontal="center" vertical="center"/>
    </xf>
    <xf numFmtId="3" fontId="7" fillId="8" borderId="3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0" fillId="8" borderId="3" pivotButton="0" quotePrefix="0" xfId="0"/>
    <xf numFmtId="0" fontId="14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15" fillId="0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left" vertical="center" wrapText="1"/>
    </xf>
    <xf numFmtId="3" fontId="15" fillId="0" borderId="4" applyAlignment="1" pivotButton="0" quotePrefix="0" xfId="0">
      <alignment horizontal="right" vertical="center"/>
    </xf>
    <xf numFmtId="3" fontId="16" fillId="0" borderId="4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 wrapText="1"/>
    </xf>
    <xf numFmtId="0" fontId="15" fillId="7" borderId="4" applyAlignment="1" pivotButton="0" quotePrefix="0" xfId="0">
      <alignment horizontal="center" vertical="center" wrapText="1"/>
    </xf>
    <xf numFmtId="0" fontId="15" fillId="15" borderId="4" applyAlignment="1" pivotButton="0" quotePrefix="0" xfId="0">
      <alignment horizontal="center" vertical="center" wrapText="1"/>
    </xf>
    <xf numFmtId="0" fontId="15" fillId="13" borderId="4" applyAlignment="1" pivotButton="0" quotePrefix="0" xfId="0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center" vertical="center" wrapText="1"/>
    </xf>
    <xf numFmtId="0" fontId="17" fillId="11" borderId="4" applyAlignment="1" pivotButton="0" quotePrefix="0" xfId="0">
      <alignment horizontal="left" vertical="center" wrapText="1"/>
    </xf>
    <xf numFmtId="0" fontId="15" fillId="11" borderId="4" applyAlignment="1" pivotButton="0" quotePrefix="0" xfId="0">
      <alignment horizontal="center" vertical="center" wrapText="1"/>
    </xf>
    <xf numFmtId="0" fontId="16" fillId="16" borderId="4" applyAlignment="1" pivotButton="0" quotePrefix="0" xfId="0">
      <alignment horizontal="left" vertical="center" wrapText="1"/>
    </xf>
    <xf numFmtId="0" fontId="16" fillId="16" borderId="4" applyAlignment="1" pivotButton="0" quotePrefix="0" xfId="0">
      <alignment horizontal="center" vertical="center" wrapText="1"/>
    </xf>
    <xf numFmtId="0" fontId="17" fillId="16" borderId="4" applyAlignment="1" pivotButton="0" quotePrefix="0" xfId="0">
      <alignment horizontal="left" vertical="center" wrapText="1"/>
    </xf>
    <xf numFmtId="0" fontId="15" fillId="16" borderId="4" applyAlignment="1" pivotButton="0" quotePrefix="0" xfId="0">
      <alignment horizontal="center" vertical="center" wrapText="1"/>
    </xf>
    <xf numFmtId="0" fontId="0" fillId="10" borderId="7" pivotButton="0" quotePrefix="0" xfId="0"/>
    <xf numFmtId="0" fontId="18" fillId="10" borderId="7" applyAlignment="1" pivotButton="0" quotePrefix="0" xfId="0">
      <alignment horizontal="center" vertical="center" wrapText="1"/>
    </xf>
    <xf numFmtId="0" fontId="0" fillId="11" borderId="4" pivotButton="0" quotePrefix="0" xfId="0"/>
    <xf numFmtId="0" fontId="0" fillId="16" borderId="4" pivotButton="0" quotePrefix="0" xfId="0"/>
    <xf numFmtId="0" fontId="14" fillId="15" borderId="7" applyAlignment="1" pivotButton="0" quotePrefix="0" xfId="0">
      <alignment horizontal="center" vertical="center" wrapText="1"/>
    </xf>
    <xf numFmtId="0" fontId="0" fillId="15" borderId="7" pivotButton="0" quotePrefix="0" xfId="0"/>
    <xf numFmtId="0" fontId="15" fillId="15" borderId="7" applyAlignment="1" pivotButton="0" quotePrefix="0" xfId="0">
      <alignment horizontal="left" vertical="center" wrapText="1"/>
    </xf>
    <xf numFmtId="0" fontId="18" fillId="10" borderId="7" applyAlignment="1" pivotButton="0" quotePrefix="0" xfId="0">
      <alignment horizontal="right" vertical="center"/>
    </xf>
    <xf numFmtId="0" fontId="0" fillId="10" borderId="7" pivotButton="0" quotePrefix="0" xfId="0"/>
    <xf numFmtId="0" fontId="0" fillId="0" borderId="0" pivotButton="0" quotePrefix="0" xfId="0"/>
    <xf numFmtId="0" fontId="14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13" borderId="4" applyAlignment="1" pivotButton="0" quotePrefix="0" xfId="0">
      <alignment horizontal="center" vertical="center" wrapText="1"/>
    </xf>
    <xf numFmtId="0" fontId="0" fillId="13" borderId="4" pivotButton="0" quotePrefix="0" xfId="0"/>
    <xf numFmtId="0" fontId="14" fillId="12" borderId="4" applyAlignment="1" pivotButton="0" quotePrefix="0" xfId="0">
      <alignment horizontal="center" vertical="center" wrapText="1"/>
    </xf>
    <xf numFmtId="0" fontId="0" fillId="12" borderId="4" pivotButton="0" quotePrefix="0" xfId="0"/>
    <xf numFmtId="0" fontId="14" fillId="15" borderId="7" applyAlignment="1" pivotButton="0" quotePrefix="0" xfId="0">
      <alignment horizontal="center" vertical="center" wrapText="1"/>
    </xf>
    <xf numFmtId="0" fontId="0" fillId="15" borderId="7" pivotButton="0" quotePrefix="0" xfId="0"/>
    <xf numFmtId="0" fontId="15" fillId="0" borderId="0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15" fillId="14" borderId="8" applyAlignment="1" pivotButton="0" quotePrefix="0" xfId="0">
      <alignment horizontal="center" vertical="center" wrapText="1"/>
    </xf>
    <xf numFmtId="164" fontId="15" fillId="14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4" pivotButton="0" quotePrefix="0" xfId="0"/>
    <xf numFmtId="0" fontId="16" fillId="2" borderId="4" applyAlignment="1" pivotButton="0" quotePrefix="0" xfId="0">
      <alignment horizontal="left" vertical="center" wrapText="1"/>
    </xf>
    <xf numFmtId="0" fontId="16" fillId="2" borderId="4" applyAlignment="1" pivotButton="0" quotePrefix="0" xfId="0">
      <alignment horizontal="center" vertical="center" wrapText="1"/>
    </xf>
    <xf numFmtId="0" fontId="17" fillId="2" borderId="4" applyAlignment="1" pivotButton="0" quotePrefix="0" xfId="0">
      <alignment horizontal="left" vertical="center" wrapText="1"/>
    </xf>
    <xf numFmtId="0" fontId="0" fillId="2" borderId="0" pivotButton="0" quotePrefix="0" xfId="0"/>
    <xf numFmtId="0" fontId="15" fillId="2" borderId="4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left" vertical="center" wrapText="1"/>
    </xf>
    <xf numFmtId="0" fontId="14" fillId="0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5" fillId="0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left" vertical="center" wrapText="1"/>
    </xf>
    <xf numFmtId="3" fontId="15" fillId="0" borderId="26" applyAlignment="1" pivotButton="0" quotePrefix="0" xfId="0">
      <alignment horizontal="right" vertical="center"/>
    </xf>
    <xf numFmtId="3" fontId="16" fillId="0" borderId="26" applyAlignment="1" pivotButton="0" quotePrefix="0" xfId="0">
      <alignment horizontal="right" vertical="center"/>
    </xf>
    <xf numFmtId="0" fontId="15" fillId="17" borderId="26" applyAlignment="1" pivotButton="0" quotePrefix="0" xfId="0">
      <alignment horizontal="center" vertical="center" wrapText="1"/>
    </xf>
    <xf numFmtId="165" fontId="15" fillId="17" borderId="26" applyAlignment="1" pivotButton="0" quotePrefix="0" xfId="0">
      <alignment horizontal="center" vertical="center" wrapText="1"/>
    </xf>
    <xf numFmtId="0" fontId="15" fillId="18" borderId="26" applyAlignment="1" pivotButton="0" quotePrefix="0" xfId="0">
      <alignment horizontal="center" vertical="center" wrapText="1"/>
    </xf>
    <xf numFmtId="0" fontId="15" fillId="19" borderId="26" applyAlignment="1" pivotButton="0" quotePrefix="0" xfId="0">
      <alignment horizontal="center" vertical="center" wrapText="1"/>
    </xf>
    <xf numFmtId="0" fontId="14" fillId="24" borderId="26" applyAlignment="1" pivotButton="0" quotePrefix="0" xfId="0">
      <alignment horizontal="center" vertical="center" wrapText="1"/>
    </xf>
    <xf numFmtId="0" fontId="15" fillId="20" borderId="26" applyAlignment="1" pivotButton="0" quotePrefix="0" xfId="0">
      <alignment horizontal="center" vertical="center" wrapText="1"/>
    </xf>
    <xf numFmtId="0" fontId="16" fillId="0" borderId="26" applyAlignment="1" pivotButton="0" quotePrefix="0" xfId="0">
      <alignment horizontal="center" vertical="center" wrapText="1"/>
    </xf>
    <xf numFmtId="0" fontId="17" fillId="0" borderId="26" applyAlignment="1" pivotButton="0" quotePrefix="0" xfId="0">
      <alignment horizontal="left" vertical="center" wrapText="1"/>
    </xf>
    <xf numFmtId="0" fontId="0" fillId="24" borderId="26" pivotButton="0" quotePrefix="0" xfId="0"/>
    <xf numFmtId="0" fontId="16" fillId="21" borderId="26" applyAlignment="1" pivotButton="0" quotePrefix="0" xfId="0">
      <alignment horizontal="left" vertical="center" wrapText="1"/>
    </xf>
    <xf numFmtId="0" fontId="15" fillId="21" borderId="26" applyAlignment="1" pivotButton="0" quotePrefix="0" xfId="0">
      <alignment horizontal="center" vertical="center" wrapText="1"/>
    </xf>
    <xf numFmtId="0" fontId="16" fillId="21" borderId="26" applyAlignment="1" pivotButton="0" quotePrefix="0" xfId="0">
      <alignment horizontal="center" vertical="center" wrapText="1"/>
    </xf>
    <xf numFmtId="0" fontId="17" fillId="21" borderId="26" applyAlignment="1" pivotButton="0" quotePrefix="0" xfId="0">
      <alignment horizontal="left" vertical="center" wrapText="1"/>
    </xf>
    <xf numFmtId="0" fontId="0" fillId="20" borderId="26" pivotButton="0" quotePrefix="0" xfId="0"/>
    <xf numFmtId="0" fontId="16" fillId="22" borderId="26" applyAlignment="1" pivotButton="0" quotePrefix="0" xfId="0">
      <alignment horizontal="left" vertical="center" wrapText="1"/>
    </xf>
    <xf numFmtId="0" fontId="15" fillId="22" borderId="26" applyAlignment="1" pivotButton="0" quotePrefix="0" xfId="0">
      <alignment horizontal="center" vertical="center" wrapText="1"/>
    </xf>
    <xf numFmtId="0" fontId="16" fillId="22" borderId="26" applyAlignment="1" pivotButton="0" quotePrefix="0" xfId="0">
      <alignment horizontal="center" vertical="center" wrapText="1"/>
    </xf>
    <xf numFmtId="0" fontId="17" fillId="22" borderId="26" applyAlignment="1" pivotButton="0" quotePrefix="0" xfId="0">
      <alignment horizontal="left" vertical="center" wrapText="1"/>
    </xf>
    <xf numFmtId="0" fontId="18" fillId="23" borderId="30" applyAlignment="1" pivotButton="0" quotePrefix="0" xfId="0">
      <alignment horizontal="right" vertical="center"/>
    </xf>
    <xf numFmtId="0" fontId="0" fillId="23" borderId="30" pivotButton="0" quotePrefix="0" xfId="0"/>
    <xf numFmtId="0" fontId="18" fillId="23" borderId="30" applyAlignment="1" pivotButton="0" quotePrefix="0" xfId="0">
      <alignment horizontal="center" vertical="center" wrapText="1"/>
    </xf>
    <xf numFmtId="0" fontId="0" fillId="21" borderId="26" pivotButton="0" quotePrefix="0" xfId="0"/>
    <xf numFmtId="0" fontId="0" fillId="22" borderId="26" pivotButton="0" quotePrefix="0" xfId="0"/>
    <xf numFmtId="0" fontId="14" fillId="19" borderId="30" applyAlignment="1" pivotButton="0" quotePrefix="0" xfId="0">
      <alignment horizontal="center" vertical="center" wrapText="1"/>
    </xf>
    <xf numFmtId="0" fontId="0" fillId="19" borderId="30" pivotButton="0" quotePrefix="0" xfId="0"/>
    <xf numFmtId="0" fontId="15" fillId="19" borderId="30" applyAlignment="1" pivotButton="0" quotePrefix="0" xfId="0">
      <alignment horizontal="left" vertical="center" wrapText="1"/>
    </xf>
    <xf numFmtId="0" fontId="19" fillId="25" borderId="0" applyAlignment="1" pivotButton="0" quotePrefix="0" xfId="0">
      <alignment horizontal="center" vertical="center" wrapText="1"/>
    </xf>
    <xf numFmtId="0" fontId="20" fillId="26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2" fillId="25" borderId="31" applyAlignment="1" pivotButton="0" quotePrefix="0" xfId="0">
      <alignment horizontal="center" vertical="center" wrapText="1"/>
    </xf>
    <xf numFmtId="0" fontId="22" fillId="25" borderId="31" applyAlignment="1" pivotButton="0" quotePrefix="0" xfId="0">
      <alignment horizontal="left" vertical="center" wrapText="1"/>
    </xf>
    <xf numFmtId="0" fontId="22" fillId="26" borderId="31" applyAlignment="1" pivotButton="0" quotePrefix="0" xfId="0">
      <alignment horizontal="center" vertical="center" wrapText="1"/>
    </xf>
    <xf numFmtId="0" fontId="22" fillId="25" borderId="31" applyAlignment="1" pivotButton="0" quotePrefix="0" xfId="0">
      <alignment horizontal="right" vertical="center"/>
    </xf>
    <xf numFmtId="0" fontId="22" fillId="26" borderId="31" applyAlignment="1" pivotButton="0" quotePrefix="0" xfId="0">
      <alignment horizontal="right" vertical="center"/>
    </xf>
    <xf numFmtId="0" fontId="0" fillId="0" borderId="32" applyAlignment="1" pivotButton="0" quotePrefix="0" xfId="0">
      <alignment horizontal="center" vertical="center" wrapText="1"/>
    </xf>
    <xf numFmtId="0" fontId="23" fillId="0" borderId="32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left" vertical="center" wrapText="1"/>
    </xf>
    <xf numFmtId="0" fontId="23" fillId="0" borderId="32" applyAlignment="1" pivotButton="0" quotePrefix="0" xfId="0">
      <alignment horizontal="center" vertical="center" wrapText="1"/>
    </xf>
    <xf numFmtId="0" fontId="24" fillId="27" borderId="32" applyAlignment="1" pivotButton="0" quotePrefix="0" xfId="0">
      <alignment horizontal="center" vertical="center" wrapText="1"/>
    </xf>
    <xf numFmtId="3" fontId="0" fillId="0" borderId="32" applyAlignment="1" pivotButton="0" quotePrefix="0" xfId="0">
      <alignment horizontal="right" vertical="center"/>
    </xf>
    <xf numFmtId="3" fontId="25" fillId="0" borderId="32" applyAlignment="1" pivotButton="0" quotePrefix="0" xfId="0">
      <alignment horizontal="right" vertical="center"/>
    </xf>
    <xf numFmtId="0" fontId="0" fillId="18" borderId="32" applyAlignment="1" pivotButton="0" quotePrefix="0" xfId="0">
      <alignment horizontal="center" vertical="center" wrapText="1"/>
    </xf>
    <xf numFmtId="0" fontId="23" fillId="18" borderId="32" applyAlignment="1" pivotButton="0" quotePrefix="0" xfId="0">
      <alignment horizontal="left" vertical="center" wrapText="1"/>
    </xf>
    <xf numFmtId="0" fontId="0" fillId="18" borderId="32" applyAlignment="1" pivotButton="0" quotePrefix="0" xfId="0">
      <alignment horizontal="left" vertical="center" wrapText="1"/>
    </xf>
    <xf numFmtId="0" fontId="23" fillId="18" borderId="32" applyAlignment="1" pivotButton="0" quotePrefix="0" xfId="0">
      <alignment horizontal="center" vertical="center" wrapText="1"/>
    </xf>
    <xf numFmtId="0" fontId="26" fillId="28" borderId="32" applyAlignment="1" pivotButton="0" quotePrefix="0" xfId="0">
      <alignment horizontal="center" vertical="center" wrapText="1"/>
    </xf>
    <xf numFmtId="3" fontId="0" fillId="18" borderId="32" applyAlignment="1" pivotButton="0" quotePrefix="0" xfId="0">
      <alignment horizontal="right" vertical="center"/>
    </xf>
    <xf numFmtId="3" fontId="25" fillId="18" borderId="32" applyAlignment="1" pivotButton="0" quotePrefix="0" xfId="0">
      <alignment horizontal="right" vertical="center"/>
    </xf>
    <xf numFmtId="0" fontId="25" fillId="29" borderId="32" applyAlignment="1" pivotButton="0" quotePrefix="0" xfId="0">
      <alignment horizontal="center" vertical="center" wrapText="1"/>
    </xf>
    <xf numFmtId="0" fontId="27" fillId="27" borderId="32" applyAlignment="1" pivotButton="0" quotePrefix="0" xfId="0">
      <alignment horizontal="center" vertical="center" wrapText="1"/>
    </xf>
    <xf numFmtId="0" fontId="23" fillId="29" borderId="33" applyAlignment="1" pivotButton="0" quotePrefix="0" xfId="0">
      <alignment horizontal="center" vertical="center" wrapText="1"/>
    </xf>
    <xf numFmtId="0" fontId="23" fillId="29" borderId="33" pivotButton="0" quotePrefix="0" xfId="0"/>
    <xf numFmtId="0" fontId="0" fillId="29" borderId="33" applyAlignment="1" pivotButton="0" quotePrefix="0" xfId="0">
      <alignment horizontal="center" vertical="center" wrapText="1"/>
    </xf>
    <xf numFmtId="3" fontId="25" fillId="29" borderId="33" applyAlignment="1" pivotButton="0" quotePrefix="0" xfId="0">
      <alignment horizontal="right" vertical="center"/>
    </xf>
    <xf numFmtId="0" fontId="22" fillId="26" borderId="31" applyAlignment="1" pivotButton="0" quotePrefix="0" xfId="0">
      <alignment horizontal="left" vertical="center" wrapText="1"/>
    </xf>
    <xf numFmtId="0" fontId="28" fillId="30" borderId="31" applyAlignment="1" pivotButton="0" quotePrefix="0" xfId="0">
      <alignment horizontal="left" vertical="center" wrapText="1"/>
    </xf>
    <xf numFmtId="0" fontId="29" fillId="23" borderId="32" applyAlignment="1" pivotButton="0" quotePrefix="0" xfId="0">
      <alignment horizontal="left" vertical="center" wrapText="1"/>
    </xf>
    <xf numFmtId="0" fontId="0" fillId="0" borderId="32" pivotButton="0" quotePrefix="0" xfId="0"/>
    <xf numFmtId="0" fontId="30" fillId="0" borderId="32" applyAlignment="1" pivotButton="0" quotePrefix="0" xfId="0">
      <alignment horizontal="center" vertical="center" wrapText="1"/>
    </xf>
    <xf numFmtId="0" fontId="0" fillId="28" borderId="32" applyAlignment="1" pivotButton="0" quotePrefix="0" xfId="0">
      <alignment horizontal="left" vertical="center" wrapText="1"/>
    </xf>
    <xf numFmtId="0" fontId="31" fillId="0" borderId="32" applyAlignment="1" pivotButton="0" quotePrefix="0" xfId="0">
      <alignment horizontal="center" vertical="center" wrapText="1"/>
    </xf>
    <xf numFmtId="0" fontId="31" fillId="18" borderId="32" applyAlignment="1" pivotButton="0" quotePrefix="0" xfId="0">
      <alignment horizontal="center" vertical="center" wrapText="1"/>
    </xf>
    <xf numFmtId="0" fontId="0" fillId="29" borderId="3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topLeftCell="B51" zoomScale="92" workbookViewId="0">
      <selection activeCell="B51" sqref="A1:XFD1048576"/>
    </sheetView>
  </sheetViews>
  <sheetFormatPr baseColWidth="10" defaultRowHeight="16"/>
  <cols>
    <col width="5.83203125" bestFit="1" customWidth="1" style="1" min="1" max="1"/>
    <col width="18.83203125" bestFit="1" customWidth="1" style="1" min="2" max="2"/>
    <col width="33.6640625" bestFit="1" customWidth="1" style="1" min="3" max="3"/>
    <col width="16.83203125" bestFit="1" customWidth="1" style="1" min="4" max="5"/>
    <col width="14.6640625" bestFit="1" customWidth="1" style="1" min="6" max="6"/>
    <col width="27" bestFit="1" customWidth="1" style="1" min="7" max="7"/>
    <col width="7.83203125" bestFit="1" customWidth="1" style="1" min="8" max="8"/>
    <col width="19.83203125" bestFit="1" customWidth="1" style="1" min="9" max="10"/>
    <col width="23.6640625" bestFit="1" customWidth="1" style="1" min="11" max="11"/>
    <col width="10.83203125" customWidth="1" style="1" min="12" max="30"/>
    <col width="10.83203125" customWidth="1" style="1" min="31" max="16384"/>
  </cols>
  <sheetData>
    <row r="1">
      <c r="A1" s="1" t="inlineStr">
        <is>
          <t>ID</t>
        </is>
      </c>
      <c r="B1" s="1" t="inlineStr">
        <is>
          <t>Asset Name</t>
        </is>
      </c>
      <c r="C1" s="1" t="inlineStr">
        <is>
          <t>Asset Tag</t>
        </is>
      </c>
      <c r="D1" s="1" t="inlineStr">
        <is>
          <t>Model</t>
        </is>
      </c>
      <c r="E1" s="1" t="inlineStr">
        <is>
          <t>Model No.</t>
        </is>
      </c>
      <c r="F1" s="1" t="inlineStr">
        <is>
          <t>Manufacturer</t>
        </is>
      </c>
      <c r="G1" s="1" t="inlineStr">
        <is>
          <t>Checked Out</t>
        </is>
      </c>
      <c r="H1" s="1" t="inlineStr">
        <is>
          <t>Type</t>
        </is>
      </c>
      <c r="I1" s="1" t="inlineStr">
        <is>
          <t>Username</t>
        </is>
      </c>
      <c r="J1" s="1" t="inlineStr">
        <is>
          <t>Department</t>
        </is>
      </c>
      <c r="K1" s="1" t="inlineStr">
        <is>
          <t>Status</t>
        </is>
      </c>
    </row>
    <row r="2">
      <c r="A2" s="1" t="n">
        <v>464</v>
      </c>
      <c r="B2" s="1" t="inlineStr">
        <is>
          <t>DESKTOP-2PI1OQH</t>
        </is>
      </c>
      <c r="C2" s="1" t="inlineStr">
        <is>
          <t>JKS-IT-2512-323</t>
        </is>
      </c>
      <c r="D2" s="1" t="inlineStr">
        <is>
          <t>Latitude 5520</t>
        </is>
      </c>
      <c r="F2" s="1" t="inlineStr">
        <is>
          <t>Dell</t>
        </is>
      </c>
      <c r="G2" s="1" t="inlineStr">
        <is>
          <t>Azly Jaludian</t>
        </is>
      </c>
      <c r="H2" s="1" t="inlineStr">
        <is>
          <t>user</t>
        </is>
      </c>
      <c r="I2" s="1" t="inlineStr">
        <is>
          <t>azly.jaludian</t>
        </is>
      </c>
      <c r="J2" s="1" t="inlineStr">
        <is>
          <t>Account &amp; Finance</t>
        </is>
      </c>
      <c r="K2" s="1" t="inlineStr">
        <is>
          <t>Ready to Deploy (deployed)</t>
        </is>
      </c>
    </row>
    <row r="3">
      <c r="A3" s="1" t="n">
        <v>230</v>
      </c>
      <c r="B3" s="1" t="inlineStr">
        <is>
          <t>Laptop HP Spectre</t>
        </is>
      </c>
      <c r="C3" s="1" t="inlineStr">
        <is>
          <t>LAP-101</t>
        </is>
      </c>
      <c r="D3" s="1" t="inlineStr">
        <is>
          <t>Spectre X360</t>
        </is>
      </c>
      <c r="E3" s="1" t="inlineStr">
        <is>
          <t>X360</t>
        </is>
      </c>
      <c r="F3" s="1" t="inlineStr">
        <is>
          <t>HP</t>
        </is>
      </c>
      <c r="G3" s="1" t="inlineStr">
        <is>
          <t>Lau Whee Ling</t>
        </is>
      </c>
      <c r="H3" s="1" t="inlineStr">
        <is>
          <t>user</t>
        </is>
      </c>
      <c r="I3" s="1" t="inlineStr">
        <is>
          <t>lwl</t>
        </is>
      </c>
      <c r="J3" s="1" t="inlineStr">
        <is>
          <t>Account &amp; Finance</t>
        </is>
      </c>
      <c r="K3" s="1" t="inlineStr">
        <is>
          <t>Ready to Deploy (deployed)</t>
        </is>
      </c>
    </row>
    <row r="4">
      <c r="A4" s="1" t="n">
        <v>467</v>
      </c>
      <c r="B4" s="1" t="inlineStr">
        <is>
          <t>DESKTOP-NKIG7C7</t>
        </is>
      </c>
      <c r="C4" s="1" t="inlineStr">
        <is>
          <t>JKS-IT-2512-326</t>
        </is>
      </c>
      <c r="D4" s="1" t="inlineStr">
        <is>
          <t>Latitude 5520</t>
        </is>
      </c>
      <c r="F4" s="1" t="inlineStr">
        <is>
          <t>Dell</t>
        </is>
      </c>
      <c r="G4" s="1" t="inlineStr">
        <is>
          <t>Tan Pei Fang</t>
        </is>
      </c>
      <c r="H4" s="1" t="inlineStr">
        <is>
          <t>user</t>
        </is>
      </c>
      <c r="I4" s="1" t="inlineStr">
        <is>
          <t>peifang.tan</t>
        </is>
      </c>
      <c r="J4" s="1" t="inlineStr">
        <is>
          <t>Account &amp; Finance</t>
        </is>
      </c>
      <c r="K4" s="1" t="inlineStr">
        <is>
          <t>Ready to Deploy (deployed)</t>
        </is>
      </c>
    </row>
    <row r="5">
      <c r="A5" s="1" t="n">
        <v>463</v>
      </c>
      <c r="B5" s="1" t="inlineStr">
        <is>
          <t>DESKTOP-I3OJ0LH</t>
        </is>
      </c>
      <c r="C5" s="1" t="inlineStr">
        <is>
          <t>JKS-IT-2512-322</t>
        </is>
      </c>
      <c r="D5" s="1" t="inlineStr">
        <is>
          <t>Latitude 5520</t>
        </is>
      </c>
      <c r="F5" s="1" t="inlineStr">
        <is>
          <t>Dell</t>
        </is>
      </c>
      <c r="G5" s="1" t="inlineStr">
        <is>
          <t>Thay Wee Koon</t>
        </is>
      </c>
      <c r="H5" s="1" t="inlineStr">
        <is>
          <t>user</t>
        </is>
      </c>
      <c r="I5" s="1" t="inlineStr">
        <is>
          <t>weekoon.thay</t>
        </is>
      </c>
      <c r="J5" s="1" t="inlineStr">
        <is>
          <t>Account &amp; Finance</t>
        </is>
      </c>
      <c r="K5" s="1" t="inlineStr">
        <is>
          <t>Ready to Deploy (deployed)</t>
        </is>
      </c>
    </row>
    <row r="6">
      <c r="A6" s="1" t="n">
        <v>170</v>
      </c>
      <c r="B6" s="1" t="inlineStr">
        <is>
          <t>Laptop Latitude</t>
        </is>
      </c>
      <c r="C6" s="1" t="inlineStr">
        <is>
          <t>DESKTOP-9AQ7JDE</t>
        </is>
      </c>
      <c r="D6" s="1" t="inlineStr">
        <is>
          <t>E7270</t>
        </is>
      </c>
      <c r="E6" s="1" t="inlineStr">
        <is>
          <t>E7270</t>
        </is>
      </c>
      <c r="F6" s="1" t="inlineStr">
        <is>
          <t>Dell</t>
        </is>
      </c>
      <c r="G6" s="1" t="inlineStr">
        <is>
          <t>Aiman Hamizan Tuan Rusli</t>
        </is>
      </c>
      <c r="H6" s="1" t="inlineStr">
        <is>
          <t>user</t>
        </is>
      </c>
      <c r="I6" s="1" t="inlineStr">
        <is>
          <t>aiman.rusli</t>
        </is>
      </c>
      <c r="J6" s="1" t="inlineStr">
        <is>
          <t>After Sales</t>
        </is>
      </c>
      <c r="K6" s="1" t="inlineStr">
        <is>
          <t>Ready to Deploy (deployed)</t>
        </is>
      </c>
    </row>
    <row r="7">
      <c r="A7" s="1" t="n">
        <v>108</v>
      </c>
      <c r="B7" s="1" t="inlineStr">
        <is>
          <t>Laptop Thinkpad</t>
        </is>
      </c>
      <c r="C7" s="1" t="inlineStr">
        <is>
          <t>LAP2112W60011</t>
        </is>
      </c>
      <c r="D7" s="1" t="inlineStr">
        <is>
          <t>P14s</t>
        </is>
      </c>
      <c r="E7" s="1" t="inlineStr">
        <is>
          <t>P14s</t>
        </is>
      </c>
      <c r="F7" s="1" t="inlineStr">
        <is>
          <t>Lenovo</t>
        </is>
      </c>
      <c r="G7" s="1" t="inlineStr">
        <is>
          <t>Ooi Ee Wan</t>
        </is>
      </c>
      <c r="H7" s="1" t="inlineStr">
        <is>
          <t>user</t>
        </is>
      </c>
      <c r="I7" s="1" t="inlineStr">
        <is>
          <t>eewan.ooi</t>
        </is>
      </c>
      <c r="J7" s="1" t="inlineStr">
        <is>
          <t>After Sales</t>
        </is>
      </c>
      <c r="K7" s="1" t="inlineStr">
        <is>
          <t>Ready to Deploy (deployed)</t>
        </is>
      </c>
    </row>
    <row r="8">
      <c r="A8" s="1" t="n">
        <v>176</v>
      </c>
      <c r="B8" s="1" t="inlineStr">
        <is>
          <t>Laptop Latitude</t>
        </is>
      </c>
      <c r="C8" s="1" t="inlineStr">
        <is>
          <t>DESKTOP-AFSJJH3</t>
        </is>
      </c>
      <c r="D8" s="1" t="inlineStr">
        <is>
          <t>E7270</t>
        </is>
      </c>
      <c r="E8" s="1" t="inlineStr">
        <is>
          <t>E7270</t>
        </is>
      </c>
      <c r="F8" s="1" t="inlineStr">
        <is>
          <t>Dell</t>
        </is>
      </c>
      <c r="G8" s="1" t="inlineStr">
        <is>
          <t>Fadzli Khalib</t>
        </is>
      </c>
      <c r="H8" s="1" t="inlineStr">
        <is>
          <t>user</t>
        </is>
      </c>
      <c r="I8" s="1" t="inlineStr">
        <is>
          <t>fadzli.khalib</t>
        </is>
      </c>
      <c r="J8" s="1" t="inlineStr">
        <is>
          <t>After Sales</t>
        </is>
      </c>
      <c r="K8" s="1" t="inlineStr">
        <is>
          <t>Ready to Deploy (deployed)</t>
        </is>
      </c>
    </row>
    <row r="9">
      <c r="A9" s="1" t="n">
        <v>177</v>
      </c>
      <c r="B9" s="1" t="inlineStr">
        <is>
          <t>Laptop Latitude</t>
        </is>
      </c>
      <c r="C9" s="1" t="inlineStr">
        <is>
          <t>DESKTOP-QDKEVKQ</t>
        </is>
      </c>
      <c r="D9" s="1" t="inlineStr">
        <is>
          <t>E7270</t>
        </is>
      </c>
      <c r="E9" s="1" t="inlineStr">
        <is>
          <t>E7270</t>
        </is>
      </c>
      <c r="F9" s="1" t="inlineStr">
        <is>
          <t>Dell</t>
        </is>
      </c>
      <c r="G9" s="1" t="inlineStr">
        <is>
          <t>Hazmi Yusof</t>
        </is>
      </c>
      <c r="H9" s="1" t="inlineStr">
        <is>
          <t>user</t>
        </is>
      </c>
      <c r="I9" s="1" t="inlineStr">
        <is>
          <t>hazmi.yusof</t>
        </is>
      </c>
      <c r="J9" s="1" t="inlineStr">
        <is>
          <t>After Sales</t>
        </is>
      </c>
      <c r="K9" s="1" t="inlineStr">
        <is>
          <t>Ready to Deploy (deployed)</t>
        </is>
      </c>
    </row>
    <row r="10">
      <c r="A10" s="1" t="n">
        <v>179</v>
      </c>
      <c r="B10" s="1" t="inlineStr">
        <is>
          <t>Laptop Latitude</t>
        </is>
      </c>
      <c r="C10" s="1" t="inlineStr">
        <is>
          <t>DESKTOP-7QQG32Q</t>
        </is>
      </c>
      <c r="D10" s="1" t="inlineStr">
        <is>
          <t>E7270</t>
        </is>
      </c>
      <c r="E10" s="1" t="inlineStr">
        <is>
          <t>E7270</t>
        </is>
      </c>
      <c r="F10" s="1" t="inlineStr">
        <is>
          <t>Dell</t>
        </is>
      </c>
      <c r="G10" s="1" t="inlineStr">
        <is>
          <t>Sulaiman Baharom</t>
        </is>
      </c>
      <c r="H10" s="1" t="inlineStr">
        <is>
          <t>user</t>
        </is>
      </c>
      <c r="I10" s="1" t="inlineStr">
        <is>
          <t>sulaiman.baharom</t>
        </is>
      </c>
      <c r="J10" s="1" t="inlineStr">
        <is>
          <t>After Sales</t>
        </is>
      </c>
      <c r="K10" s="1" t="inlineStr">
        <is>
          <t>Ready to Deploy (deployed)</t>
        </is>
      </c>
    </row>
    <row r="11">
      <c r="A11" s="1" t="n">
        <v>117</v>
      </c>
      <c r="B11" s="1" t="inlineStr">
        <is>
          <t>Laptop Thinkpad</t>
        </is>
      </c>
      <c r="C11" s="1" t="inlineStr">
        <is>
          <t>LAP2112W36010</t>
        </is>
      </c>
      <c r="D11" s="1" t="inlineStr">
        <is>
          <t>L15</t>
        </is>
      </c>
      <c r="E11" s="1" t="inlineStr">
        <is>
          <t>L15</t>
        </is>
      </c>
      <c r="F11" s="1" t="inlineStr">
        <is>
          <t>Lenovo</t>
        </is>
      </c>
      <c r="G11" s="1" t="inlineStr">
        <is>
          <t>Tan Zhang Zhu</t>
        </is>
      </c>
      <c r="H11" s="1" t="inlineStr">
        <is>
          <t>user</t>
        </is>
      </c>
      <c r="I11" s="1" t="inlineStr">
        <is>
          <t>zhangzhu.tan</t>
        </is>
      </c>
      <c r="J11" s="1" t="inlineStr">
        <is>
          <t>After Sales</t>
        </is>
      </c>
      <c r="K11" s="1" t="inlineStr">
        <is>
          <t>Ready to Deploy (deployed)</t>
        </is>
      </c>
    </row>
    <row r="12">
      <c r="A12" s="1" t="n">
        <v>174</v>
      </c>
      <c r="B12" s="1" t="inlineStr">
        <is>
          <t>Laptop Latitude</t>
        </is>
      </c>
      <c r="C12" s="1" t="inlineStr">
        <is>
          <t>DESKTOP-C8OC247</t>
        </is>
      </c>
      <c r="D12" s="1" t="inlineStr">
        <is>
          <t>E7270</t>
        </is>
      </c>
      <c r="E12" s="1" t="inlineStr">
        <is>
          <t>E7270</t>
        </is>
      </c>
      <c r="F12" s="1" t="inlineStr">
        <is>
          <t>Dell</t>
        </is>
      </c>
      <c r="G12" s="1" t="inlineStr">
        <is>
          <t>Zaki Ayub</t>
        </is>
      </c>
      <c r="H12" s="1" t="inlineStr">
        <is>
          <t>user</t>
        </is>
      </c>
      <c r="I12" s="1" t="inlineStr">
        <is>
          <t>zky</t>
        </is>
      </c>
      <c r="J12" s="1" t="inlineStr">
        <is>
          <t>After Sales</t>
        </is>
      </c>
      <c r="K12" s="1" t="inlineStr">
        <is>
          <t>Ready to Deploy (deployed)</t>
        </is>
      </c>
    </row>
    <row r="13">
      <c r="A13" s="1" t="n">
        <v>470</v>
      </c>
      <c r="B13" s="1" t="inlineStr">
        <is>
          <t>DESKTOP-SF80TEK</t>
        </is>
      </c>
      <c r="C13" s="1" t="inlineStr">
        <is>
          <t>JKS-IT-2602-329</t>
        </is>
      </c>
      <c r="D13" s="1" t="inlineStr">
        <is>
          <t>Latitude 7320</t>
        </is>
      </c>
      <c r="F13" s="1" t="inlineStr">
        <is>
          <t>Dell</t>
        </is>
      </c>
      <c r="G13" s="1" t="inlineStr">
        <is>
          <t>Hakimi Halim</t>
        </is>
      </c>
      <c r="H13" s="1" t="inlineStr">
        <is>
          <t>user</t>
        </is>
      </c>
      <c r="I13" s="1" t="inlineStr">
        <is>
          <t>hakimi.halim</t>
        </is>
      </c>
      <c r="J13" s="1" t="inlineStr">
        <is>
          <t>After Sales</t>
        </is>
      </c>
      <c r="K13" s="1" t="inlineStr">
        <is>
          <t>Ready to Deploy (deployed)</t>
        </is>
      </c>
    </row>
    <row r="14">
      <c r="A14" s="1" t="n">
        <v>354</v>
      </c>
      <c r="B14" s="1" t="inlineStr">
        <is>
          <t>Macbook Air M1</t>
        </is>
      </c>
      <c r="C14" s="1" t="inlineStr">
        <is>
          <t>JKS-IT-2308-214</t>
        </is>
      </c>
      <c r="D14" s="1" t="inlineStr">
        <is>
          <t>2020 13"</t>
        </is>
      </c>
      <c r="E14" s="1" t="inlineStr">
        <is>
          <t>A2337</t>
        </is>
      </c>
      <c r="F14" s="1" t="inlineStr">
        <is>
          <t>Apple</t>
        </is>
      </c>
      <c r="G14" s="1" t="inlineStr">
        <is>
          <t>Norliyana Khairudin</t>
        </is>
      </c>
      <c r="H14" s="1" t="inlineStr">
        <is>
          <t>user</t>
        </is>
      </c>
      <c r="I14" s="1" t="inlineStr">
        <is>
          <t>norliyana.khairudin</t>
        </is>
      </c>
      <c r="J14" s="1" t="inlineStr">
        <is>
          <t>After Sales</t>
        </is>
      </c>
      <c r="K14" s="1" t="inlineStr">
        <is>
          <t>Ready to Deploy (deployed)</t>
        </is>
      </c>
    </row>
    <row r="15">
      <c r="A15" s="1" t="n">
        <v>473</v>
      </c>
      <c r="C15" s="1" t="inlineStr">
        <is>
          <t>DESKTOP-RV4KU0R</t>
        </is>
      </c>
      <c r="D15" s="1" t="inlineStr">
        <is>
          <t>Latitude 7320</t>
        </is>
      </c>
      <c r="F15" s="1" t="inlineStr">
        <is>
          <t>Dell</t>
        </is>
      </c>
      <c r="G15" s="1" t="inlineStr">
        <is>
          <t>Sholehan Samin</t>
        </is>
      </c>
      <c r="H15" s="1" t="inlineStr">
        <is>
          <t>user</t>
        </is>
      </c>
      <c r="I15" s="1" t="inlineStr">
        <is>
          <t>sholehan.samin</t>
        </is>
      </c>
      <c r="J15" s="1" t="inlineStr">
        <is>
          <t>After Sales</t>
        </is>
      </c>
      <c r="K15" s="1" t="inlineStr">
        <is>
          <t>Ready to Deploy (deployed)</t>
        </is>
      </c>
    </row>
    <row r="16">
      <c r="A16" s="1" t="n">
        <v>182</v>
      </c>
      <c r="B16" s="1" t="inlineStr">
        <is>
          <t>Macbook Air M1</t>
        </is>
      </c>
      <c r="C16" s="1" t="inlineStr">
        <is>
          <t>LAP2304W12001</t>
        </is>
      </c>
      <c r="D16" s="1" t="inlineStr">
        <is>
          <t>2020 13"</t>
        </is>
      </c>
      <c r="E16" s="1" t="inlineStr">
        <is>
          <t>A2337</t>
        </is>
      </c>
      <c r="F16" s="1" t="inlineStr">
        <is>
          <t>Apple</t>
        </is>
      </c>
      <c r="G16" s="1" t="inlineStr">
        <is>
          <t>Alex Wee</t>
        </is>
      </c>
      <c r="H16" s="1" t="inlineStr">
        <is>
          <t>user</t>
        </is>
      </c>
      <c r="I16" s="1" t="inlineStr">
        <is>
          <t>alex.wee</t>
        </is>
      </c>
      <c r="J16" s="1" t="inlineStr">
        <is>
          <t>After Sales</t>
        </is>
      </c>
      <c r="K16" s="1" t="inlineStr">
        <is>
          <t>Ready to Deploy (deployed)</t>
        </is>
      </c>
    </row>
    <row r="17">
      <c r="A17" s="1" t="n">
        <v>472</v>
      </c>
      <c r="C17" s="1" t="inlineStr">
        <is>
          <t>DESKTOP-CV8VEUN</t>
        </is>
      </c>
      <c r="D17" s="1" t="inlineStr">
        <is>
          <t>Latitude 7320</t>
        </is>
      </c>
      <c r="F17" s="1" t="inlineStr">
        <is>
          <t>Dell</t>
        </is>
      </c>
      <c r="G17" s="1" t="inlineStr">
        <is>
          <t>Abdullah Fauzi</t>
        </is>
      </c>
      <c r="H17" s="1" t="inlineStr">
        <is>
          <t>user</t>
        </is>
      </c>
      <c r="I17" s="1" t="inlineStr">
        <is>
          <t>abdullah.fauzi</t>
        </is>
      </c>
      <c r="J17" s="1" t="inlineStr">
        <is>
          <t>Automation</t>
        </is>
      </c>
      <c r="K17" s="1" t="inlineStr">
        <is>
          <t>Ready to Deploy (deployed)</t>
        </is>
      </c>
    </row>
    <row r="18">
      <c r="A18" s="1" t="n">
        <v>105</v>
      </c>
      <c r="B18" s="1" t="inlineStr">
        <is>
          <t>Laptop Thinkpad</t>
        </is>
      </c>
      <c r="C18" s="1" t="inlineStr">
        <is>
          <t>LAP2112W60010</t>
        </is>
      </c>
      <c r="D18" s="1" t="inlineStr">
        <is>
          <t>P14s</t>
        </is>
      </c>
      <c r="E18" s="1" t="inlineStr">
        <is>
          <t>P14s</t>
        </is>
      </c>
      <c r="F18" s="1" t="inlineStr">
        <is>
          <t>Lenovo</t>
        </is>
      </c>
      <c r="G18" s="1" t="inlineStr">
        <is>
          <t>Hanis Zulhairi</t>
        </is>
      </c>
      <c r="H18" s="1" t="inlineStr">
        <is>
          <t>user</t>
        </is>
      </c>
      <c r="I18" s="1" t="inlineStr">
        <is>
          <t>hanis.zulhairi</t>
        </is>
      </c>
      <c r="J18" s="1" t="inlineStr">
        <is>
          <t>Automation</t>
        </is>
      </c>
      <c r="K18" s="1" t="inlineStr">
        <is>
          <t>Ready to Deploy (deployed)</t>
        </is>
      </c>
    </row>
    <row r="19">
      <c r="A19" s="1" t="n">
        <v>112</v>
      </c>
      <c r="B19" s="1" t="inlineStr">
        <is>
          <t>Laptop Thinkpad</t>
        </is>
      </c>
      <c r="C19" s="1" t="inlineStr">
        <is>
          <t>LAP2112W36005</t>
        </is>
      </c>
      <c r="D19" s="1" t="inlineStr">
        <is>
          <t>L15</t>
        </is>
      </c>
      <c r="E19" s="1" t="inlineStr">
        <is>
          <t>L15</t>
        </is>
      </c>
      <c r="F19" s="1" t="inlineStr">
        <is>
          <t>Lenovo</t>
        </is>
      </c>
      <c r="G19" s="1" t="inlineStr">
        <is>
          <t>Ho Kar Wye</t>
        </is>
      </c>
      <c r="H19" s="1" t="inlineStr">
        <is>
          <t>user</t>
        </is>
      </c>
      <c r="I19" s="1" t="inlineStr">
        <is>
          <t>karwye.ho</t>
        </is>
      </c>
      <c r="J19" s="1" t="inlineStr">
        <is>
          <t>Automation</t>
        </is>
      </c>
      <c r="K19" s="1" t="inlineStr">
        <is>
          <t>Ready to Deploy (deployed)</t>
        </is>
      </c>
    </row>
    <row r="20">
      <c r="A20" s="1" t="n">
        <v>458</v>
      </c>
      <c r="B20" s="1" t="inlineStr">
        <is>
          <t>Macbook Air M4</t>
        </is>
      </c>
      <c r="C20" s="1" t="inlineStr">
        <is>
          <t>JKS-IT-2509-317</t>
        </is>
      </c>
      <c r="D20" s="1" t="inlineStr">
        <is>
          <t>M4 13"</t>
        </is>
      </c>
      <c r="E20" s="1" t="inlineStr">
        <is>
          <t>A3240</t>
        </is>
      </c>
      <c r="F20" s="1" t="inlineStr">
        <is>
          <t>Apple</t>
        </is>
      </c>
      <c r="G20" s="1" t="inlineStr">
        <is>
          <t>Ho Kar Wye</t>
        </is>
      </c>
      <c r="H20" s="1" t="inlineStr">
        <is>
          <t>user</t>
        </is>
      </c>
      <c r="I20" s="1" t="inlineStr">
        <is>
          <t>karwye.ho</t>
        </is>
      </c>
      <c r="J20" s="1" t="inlineStr">
        <is>
          <t>Automation</t>
        </is>
      </c>
      <c r="K20" s="1" t="inlineStr">
        <is>
          <t>Ready to Deploy (deployed)</t>
        </is>
      </c>
    </row>
    <row r="21">
      <c r="A21" s="1" t="n">
        <v>114</v>
      </c>
      <c r="B21" s="1" t="inlineStr">
        <is>
          <t>Laptop Thinkpad</t>
        </is>
      </c>
      <c r="C21" s="1" t="inlineStr">
        <is>
          <t>LAP2112W36006</t>
        </is>
      </c>
      <c r="D21" s="1" t="inlineStr">
        <is>
          <t>L15</t>
        </is>
      </c>
      <c r="E21" s="1" t="inlineStr">
        <is>
          <t>L15</t>
        </is>
      </c>
      <c r="F21" s="1" t="inlineStr">
        <is>
          <t>Lenovo</t>
        </is>
      </c>
      <c r="G21" s="1" t="inlineStr">
        <is>
          <t>Hazman Husni</t>
        </is>
      </c>
      <c r="H21" s="1" t="inlineStr">
        <is>
          <t>user</t>
        </is>
      </c>
      <c r="I21" s="1" t="inlineStr">
        <is>
          <t>hazman.husni</t>
        </is>
      </c>
      <c r="J21" s="1" t="inlineStr">
        <is>
          <t>Automation</t>
        </is>
      </c>
      <c r="K21" s="1" t="inlineStr">
        <is>
          <t>Ready to Deploy (deployed)</t>
        </is>
      </c>
    </row>
    <row r="22">
      <c r="A22" s="1" t="n">
        <v>113</v>
      </c>
      <c r="B22" s="1" t="inlineStr">
        <is>
          <t>Laptop Thinkpad</t>
        </is>
      </c>
      <c r="C22" s="1" t="inlineStr">
        <is>
          <t>LAP2112W36004</t>
        </is>
      </c>
      <c r="D22" s="1" t="inlineStr">
        <is>
          <t>L15</t>
        </is>
      </c>
      <c r="E22" s="1" t="inlineStr">
        <is>
          <t>L15</t>
        </is>
      </c>
      <c r="F22" s="1" t="inlineStr">
        <is>
          <t>Lenovo</t>
        </is>
      </c>
      <c r="G22" s="1" t="inlineStr">
        <is>
          <t>Joel Kishen John</t>
        </is>
      </c>
      <c r="H22" s="1" t="inlineStr">
        <is>
          <t>user</t>
        </is>
      </c>
      <c r="I22" s="1" t="inlineStr">
        <is>
          <t>joelkishen.john</t>
        </is>
      </c>
      <c r="J22" s="1" t="inlineStr">
        <is>
          <t>Automation</t>
        </is>
      </c>
      <c r="K22" s="1" t="inlineStr">
        <is>
          <t>Ready to Deploy (deployed)</t>
        </is>
      </c>
    </row>
    <row r="23">
      <c r="A23" s="1" t="n">
        <v>115</v>
      </c>
      <c r="B23" s="1" t="inlineStr">
        <is>
          <t>Laptop Thinkpad</t>
        </is>
      </c>
      <c r="C23" s="1" t="inlineStr">
        <is>
          <t>LAP2112W36007</t>
        </is>
      </c>
      <c r="D23" s="1" t="inlineStr">
        <is>
          <t>L15</t>
        </is>
      </c>
      <c r="E23" s="1" t="inlineStr">
        <is>
          <t>L15</t>
        </is>
      </c>
      <c r="F23" s="1" t="inlineStr">
        <is>
          <t>Lenovo</t>
        </is>
      </c>
      <c r="G23" s="1" t="inlineStr">
        <is>
          <t>Shafiq Zulkifli</t>
        </is>
      </c>
      <c r="H23" s="1" t="inlineStr">
        <is>
          <t>user</t>
        </is>
      </c>
      <c r="I23" s="1" t="inlineStr">
        <is>
          <t>shafiq.zulkifli</t>
        </is>
      </c>
      <c r="J23" s="1" t="inlineStr">
        <is>
          <t>Automation</t>
        </is>
      </c>
      <c r="K23" s="1" t="inlineStr">
        <is>
          <t>Ready to Deploy (deployed)</t>
        </is>
      </c>
    </row>
    <row r="24">
      <c r="A24" s="1" t="n">
        <v>38</v>
      </c>
      <c r="B24" t="inlineStr">
        <is>
          <t>Laptop Thinkpad</t>
        </is>
      </c>
      <c r="C24" t="inlineStr">
        <is>
          <t>DESKTOP-B0429</t>
        </is>
      </c>
      <c r="D24" t="inlineStr">
        <is>
          <t>T14</t>
        </is>
      </c>
      <c r="E24" t="inlineStr">
        <is>
          <t>T14</t>
        </is>
      </c>
      <c r="F24" s="1" t="inlineStr">
        <is>
          <t>Lenovo</t>
        </is>
      </c>
      <c r="G24" t="inlineStr">
        <is>
          <t>Chin Jing Sian</t>
        </is>
      </c>
      <c r="H24" s="1" t="inlineStr">
        <is>
          <t>user</t>
        </is>
      </c>
      <c r="I24" t="inlineStr">
        <is>
          <t>jingsian.chin</t>
        </is>
      </c>
      <c r="J24" t="inlineStr">
        <is>
          <t>Automation</t>
        </is>
      </c>
      <c r="K24" t="inlineStr">
        <is>
          <t>Leasing Unit (deployed)</t>
        </is>
      </c>
    </row>
    <row r="25">
      <c r="A25" s="1" t="n">
        <v>459</v>
      </c>
      <c r="B25" s="1" t="inlineStr">
        <is>
          <t>Macbook Air M2</t>
        </is>
      </c>
      <c r="C25" s="1" t="inlineStr">
        <is>
          <t>JKS-IT-2510-318</t>
        </is>
      </c>
      <c r="D25" s="1" t="inlineStr">
        <is>
          <t>M2 13"</t>
        </is>
      </c>
      <c r="E25" s="1" t="inlineStr">
        <is>
          <t>A2681</t>
        </is>
      </c>
      <c r="F25" s="1" t="inlineStr">
        <is>
          <t>Apple</t>
        </is>
      </c>
      <c r="G25" s="1" t="inlineStr">
        <is>
          <t>Tham Jia Qian</t>
        </is>
      </c>
      <c r="H25" s="1" t="inlineStr">
        <is>
          <t>user</t>
        </is>
      </c>
      <c r="I25" s="1" t="inlineStr">
        <is>
          <t>jiaqian.tham</t>
        </is>
      </c>
      <c r="J25" s="1" t="inlineStr">
        <is>
          <t>Business Development</t>
        </is>
      </c>
      <c r="K25" s="1" t="inlineStr">
        <is>
          <t>Ready to Deploy (deployed)</t>
        </is>
      </c>
    </row>
    <row r="26">
      <c r="A26" s="1" t="n">
        <v>469</v>
      </c>
      <c r="B26" s="1" t="inlineStr">
        <is>
          <t>Macbook Air M1</t>
        </is>
      </c>
      <c r="C26" s="1" t="inlineStr">
        <is>
          <t>JKS-IT-2407-272</t>
        </is>
      </c>
      <c r="D26" s="1" t="inlineStr">
        <is>
          <t>2020 13"</t>
        </is>
      </c>
      <c r="E26" s="1" t="inlineStr">
        <is>
          <t>A2337</t>
        </is>
      </c>
      <c r="F26" s="1" t="inlineStr">
        <is>
          <t>Apple</t>
        </is>
      </c>
      <c r="G26" s="1" t="inlineStr">
        <is>
          <t>Nur Risha Aiman Makhtar</t>
        </is>
      </c>
      <c r="H26" s="1" t="inlineStr">
        <is>
          <t>user</t>
        </is>
      </c>
      <c r="I26" s="1" t="inlineStr">
        <is>
          <t>risha.aiman</t>
        </is>
      </c>
      <c r="J26" s="1" t="inlineStr">
        <is>
          <t>Business Development</t>
        </is>
      </c>
      <c r="K26" s="1" t="inlineStr">
        <is>
          <t>Ready to Deploy (deployed)</t>
        </is>
      </c>
    </row>
    <row r="27">
      <c r="A27" s="1" t="n">
        <v>104</v>
      </c>
      <c r="B27" s="1" t="inlineStr">
        <is>
          <t>Laptop Thinkpad</t>
        </is>
      </c>
      <c r="C27" s="1" t="inlineStr">
        <is>
          <t>LAP2112W60009</t>
        </is>
      </c>
      <c r="D27" s="1" t="inlineStr">
        <is>
          <t>P14s</t>
        </is>
      </c>
      <c r="E27" s="1" t="inlineStr">
        <is>
          <t>P14s</t>
        </is>
      </c>
      <c r="F27" s="1" t="inlineStr">
        <is>
          <t>Lenovo</t>
        </is>
      </c>
      <c r="G27" s="1" t="inlineStr">
        <is>
          <t>Evelyn Lee Hor Yan</t>
        </is>
      </c>
      <c r="H27" s="1" t="inlineStr">
        <is>
          <t>user</t>
        </is>
      </c>
      <c r="I27" s="1" t="inlineStr">
        <is>
          <t>horyan.lee</t>
        </is>
      </c>
      <c r="J27" s="1" t="inlineStr">
        <is>
          <t>Business Development</t>
        </is>
      </c>
      <c r="K27" s="1" t="inlineStr">
        <is>
          <t>Ready to Deploy (deployed)</t>
        </is>
      </c>
    </row>
    <row r="28">
      <c r="A28" s="1" t="n">
        <v>43</v>
      </c>
      <c r="B28" t="inlineStr">
        <is>
          <t>Laptop Thinkpad</t>
        </is>
      </c>
      <c r="C28" t="inlineStr">
        <is>
          <t>DESKTOP-B0220</t>
        </is>
      </c>
      <c r="D28" t="inlineStr">
        <is>
          <t>T14</t>
        </is>
      </c>
      <c r="E28" t="inlineStr">
        <is>
          <t>T14</t>
        </is>
      </c>
      <c r="F28" s="1" t="inlineStr">
        <is>
          <t>Lenovo</t>
        </is>
      </c>
      <c r="G28" t="inlineStr">
        <is>
          <t>Jayden Ng Jien Hun</t>
        </is>
      </c>
      <c r="H28" s="1" t="inlineStr">
        <is>
          <t>user</t>
        </is>
      </c>
      <c r="I28" t="inlineStr">
        <is>
          <t>jienhun.ng</t>
        </is>
      </c>
      <c r="J28" t="inlineStr">
        <is>
          <t>Business Development</t>
        </is>
      </c>
      <c r="K28" t="inlineStr">
        <is>
          <t>Leasing Unit (deployed)</t>
        </is>
      </c>
    </row>
    <row r="29">
      <c r="A29" s="1" t="n">
        <v>110</v>
      </c>
      <c r="B29" s="1" t="inlineStr">
        <is>
          <t>Laptop Thinkpad</t>
        </is>
      </c>
      <c r="C29" s="1" t="inlineStr">
        <is>
          <t>LAP2112W36003</t>
        </is>
      </c>
      <c r="D29" s="1" t="inlineStr">
        <is>
          <t>P14s</t>
        </is>
      </c>
      <c r="E29" s="1" t="inlineStr">
        <is>
          <t>P14s</t>
        </is>
      </c>
      <c r="F29" s="1" t="inlineStr">
        <is>
          <t>Lenovo</t>
        </is>
      </c>
      <c r="G29" s="1" t="inlineStr">
        <is>
          <t>Wu Choi Mee</t>
        </is>
      </c>
      <c r="H29" s="1" t="inlineStr">
        <is>
          <t>user</t>
        </is>
      </c>
      <c r="I29" s="1" t="inlineStr">
        <is>
          <t>wcm</t>
        </is>
      </c>
      <c r="J29" s="1" t="inlineStr">
        <is>
          <t>Costing</t>
        </is>
      </c>
      <c r="K29" s="1" t="inlineStr">
        <is>
          <t>Ready to Deploy (deployed)</t>
        </is>
      </c>
    </row>
    <row r="30">
      <c r="A30" s="1" t="n">
        <v>7</v>
      </c>
      <c r="B30" s="1" t="inlineStr">
        <is>
          <t>Laptop Inspiron</t>
        </is>
      </c>
      <c r="C30" s="1" t="inlineStr">
        <is>
          <t>LAP1912W12004</t>
        </is>
      </c>
      <c r="D30" s="1" t="n">
        <v>3593</v>
      </c>
      <c r="E30" s="1" t="n">
        <v>3593</v>
      </c>
      <c r="F30" s="1" t="inlineStr">
        <is>
          <t>Dell</t>
        </is>
      </c>
      <c r="G30" s="1" t="inlineStr">
        <is>
          <t>Goh Ying Ying</t>
        </is>
      </c>
      <c r="H30" s="1" t="inlineStr">
        <is>
          <t>user</t>
        </is>
      </c>
      <c r="I30" s="1" t="inlineStr">
        <is>
          <t>yingying.goh</t>
        </is>
      </c>
      <c r="J30" s="1" t="inlineStr">
        <is>
          <t>Costing</t>
        </is>
      </c>
      <c r="K30" s="1" t="inlineStr">
        <is>
          <t>Ready to Deploy (deployed)</t>
        </is>
      </c>
    </row>
    <row r="31">
      <c r="A31" s="1" t="n">
        <v>51</v>
      </c>
      <c r="B31" t="inlineStr">
        <is>
          <t>Laptop Thinkpad</t>
        </is>
      </c>
      <c r="C31" t="inlineStr">
        <is>
          <t>JKS-IT-2508-315</t>
        </is>
      </c>
      <c r="D31" t="inlineStr">
        <is>
          <t>T14</t>
        </is>
      </c>
      <c r="E31" t="inlineStr">
        <is>
          <t>T14</t>
        </is>
      </c>
      <c r="F31" s="1" t="inlineStr">
        <is>
          <t>Lenovo</t>
        </is>
      </c>
      <c r="G31" t="inlineStr">
        <is>
          <t>Sew Thee Hwa</t>
        </is>
      </c>
      <c r="H31" s="1" t="inlineStr">
        <is>
          <t>user</t>
        </is>
      </c>
      <c r="I31" t="inlineStr">
        <is>
          <t>theehwa.sew</t>
        </is>
      </c>
      <c r="J31" s="1" t="inlineStr">
        <is>
          <t>Costing</t>
        </is>
      </c>
      <c r="K31" t="inlineStr">
        <is>
          <t>Leasing Unit (deployed)</t>
        </is>
      </c>
    </row>
    <row r="32">
      <c r="A32" s="1" t="n">
        <v>28</v>
      </c>
      <c r="B32" s="1" t="inlineStr">
        <is>
          <t>Laptop Thinkpad</t>
        </is>
      </c>
      <c r="C32" s="1" t="inlineStr">
        <is>
          <t>LAP2204W36001</t>
        </is>
      </c>
      <c r="D32" s="1" t="inlineStr">
        <is>
          <t>L14</t>
        </is>
      </c>
      <c r="E32" s="1" t="inlineStr">
        <is>
          <t>L14</t>
        </is>
      </c>
      <c r="F32" s="1" t="inlineStr">
        <is>
          <t>Lenovo</t>
        </is>
      </c>
      <c r="G32" s="1" t="inlineStr">
        <is>
          <t>Sim Fui Duan</t>
        </is>
      </c>
      <c r="H32" s="1" t="inlineStr">
        <is>
          <t>user</t>
        </is>
      </c>
      <c r="I32" s="1" t="inlineStr">
        <is>
          <t>fuiduan.sim</t>
        </is>
      </c>
      <c r="J32" s="1" t="inlineStr">
        <is>
          <t>HR &amp; Admin</t>
        </is>
      </c>
      <c r="K32" s="1" t="inlineStr">
        <is>
          <t>Ready to Deploy (deployed)</t>
        </is>
      </c>
    </row>
    <row r="33">
      <c r="A33" s="1" t="n">
        <v>21</v>
      </c>
      <c r="B33" s="1" t="inlineStr">
        <is>
          <t>Laptop Latitude</t>
        </is>
      </c>
      <c r="C33" s="1" t="inlineStr">
        <is>
          <t>DESKTOP-91946</t>
        </is>
      </c>
      <c r="D33" s="1" t="inlineStr">
        <is>
          <t>E5470</t>
        </is>
      </c>
      <c r="E33" s="1" t="inlineStr">
        <is>
          <t>E5470</t>
        </is>
      </c>
      <c r="F33" s="1" t="inlineStr">
        <is>
          <t>Dell</t>
        </is>
      </c>
      <c r="G33" s="1" t="inlineStr">
        <is>
          <t>Ng Xin Yi</t>
        </is>
      </c>
      <c r="H33" s="1" t="inlineStr">
        <is>
          <t>user</t>
        </is>
      </c>
      <c r="I33" s="1" t="inlineStr">
        <is>
          <t>xinyi.ng</t>
        </is>
      </c>
      <c r="J33" s="1" t="inlineStr">
        <is>
          <t>HR &amp; Admin</t>
        </is>
      </c>
      <c r="K33" s="1" t="inlineStr">
        <is>
          <t>Ready to Deploy (deployed)</t>
        </is>
      </c>
    </row>
    <row r="34">
      <c r="A34" s="1" t="n">
        <v>461</v>
      </c>
      <c r="B34" s="1" t="inlineStr">
        <is>
          <t>Macbook Air M2</t>
        </is>
      </c>
      <c r="C34" s="1" t="inlineStr">
        <is>
          <t>JKS-IT-2510-320</t>
        </is>
      </c>
      <c r="D34" s="1" t="inlineStr">
        <is>
          <t>M2 13"</t>
        </is>
      </c>
      <c r="E34" s="1" t="inlineStr">
        <is>
          <t>A2681</t>
        </is>
      </c>
      <c r="F34" s="1" t="inlineStr">
        <is>
          <t>Apple</t>
        </is>
      </c>
      <c r="G34" s="1" t="inlineStr">
        <is>
          <t>Haziq Afendi</t>
        </is>
      </c>
      <c r="H34" s="1" t="inlineStr">
        <is>
          <t>user</t>
        </is>
      </c>
      <c r="I34" s="1" t="inlineStr">
        <is>
          <t>haziq.afendi</t>
        </is>
      </c>
      <c r="J34" s="1" t="inlineStr">
        <is>
          <t>IT</t>
        </is>
      </c>
      <c r="K34" s="1" t="inlineStr">
        <is>
          <t>Ready to Deploy (deployed)</t>
        </is>
      </c>
    </row>
    <row r="35">
      <c r="A35" s="1" t="n">
        <v>460</v>
      </c>
      <c r="B35" s="1" t="inlineStr">
        <is>
          <t>Macbook Air M4 2025</t>
        </is>
      </c>
      <c r="C35" s="1" t="inlineStr">
        <is>
          <t>JKS-IT-2510-319</t>
        </is>
      </c>
      <c r="D35" s="1" t="inlineStr">
        <is>
          <t>M4 13"</t>
        </is>
      </c>
      <c r="E35" s="1" t="inlineStr">
        <is>
          <t>A3240</t>
        </is>
      </c>
      <c r="F35" s="1" t="inlineStr">
        <is>
          <t>Apple</t>
        </is>
      </c>
      <c r="G35" s="1" t="inlineStr">
        <is>
          <t>Khairul Salni</t>
        </is>
      </c>
      <c r="H35" s="1" t="inlineStr">
        <is>
          <t>user</t>
        </is>
      </c>
      <c r="I35" s="1" t="inlineStr">
        <is>
          <t>khairul.salni</t>
        </is>
      </c>
      <c r="J35" s="1" t="inlineStr">
        <is>
          <t>IT</t>
        </is>
      </c>
      <c r="K35" s="1" t="inlineStr">
        <is>
          <t>Ready to Deploy (deployed)</t>
        </is>
      </c>
    </row>
    <row r="36">
      <c r="A36" s="1" t="n">
        <v>183</v>
      </c>
      <c r="B36" s="1" t="inlineStr">
        <is>
          <t>Macbook Air M1</t>
        </is>
      </c>
      <c r="C36" s="1" t="inlineStr">
        <is>
          <t>LAP2304W12002</t>
        </is>
      </c>
      <c r="D36" s="1" t="inlineStr">
        <is>
          <t>2020 13"</t>
        </is>
      </c>
      <c r="E36" s="1" t="inlineStr">
        <is>
          <t>A2337</t>
        </is>
      </c>
      <c r="F36" s="1" t="inlineStr">
        <is>
          <t>Apple</t>
        </is>
      </c>
      <c r="G36" s="1" t="inlineStr">
        <is>
          <t>Saipulnizam Yusof</t>
        </is>
      </c>
      <c r="H36" s="1" t="inlineStr">
        <is>
          <t>user</t>
        </is>
      </c>
      <c r="I36" s="1" t="inlineStr">
        <is>
          <t>saipulnizam.yusof</t>
        </is>
      </c>
      <c r="J36" s="1" t="inlineStr">
        <is>
          <t>IT</t>
        </is>
      </c>
      <c r="K36" s="1" t="inlineStr">
        <is>
          <t>Ready to Deploy (deployed)</t>
        </is>
      </c>
    </row>
    <row r="37">
      <c r="A37" s="1" t="n">
        <v>25</v>
      </c>
      <c r="B37" s="1" t="inlineStr">
        <is>
          <t>Laptop ZenBook</t>
        </is>
      </c>
      <c r="C37" s="1" t="inlineStr">
        <is>
          <t>LAP2203W24001</t>
        </is>
      </c>
      <c r="D37" s="1" t="inlineStr">
        <is>
          <t>UX582L</t>
        </is>
      </c>
      <c r="E37" s="1" t="inlineStr">
        <is>
          <t>UX582L</t>
        </is>
      </c>
      <c r="F37" s="1" t="inlineStr">
        <is>
          <t>Asus</t>
        </is>
      </c>
      <c r="G37" s="1" t="inlineStr">
        <is>
          <t>Liew Kwok Jee</t>
        </is>
      </c>
      <c r="H37" s="1" t="inlineStr">
        <is>
          <t>user</t>
        </is>
      </c>
      <c r="I37" s="1" t="inlineStr">
        <is>
          <t>lkj</t>
        </is>
      </c>
      <c r="J37" s="1" t="inlineStr">
        <is>
          <t>Manufacturing</t>
        </is>
      </c>
      <c r="K37" s="1" t="inlineStr">
        <is>
          <t>Ready to Deploy (deployed)</t>
        </is>
      </c>
    </row>
    <row r="38">
      <c r="A38" s="1" t="n">
        <v>475</v>
      </c>
      <c r="B38" s="1" t="inlineStr">
        <is>
          <t>Macbook Air</t>
        </is>
      </c>
      <c r="C38" s="1" t="inlineStr">
        <is>
          <t>JKS-IT-2604-334</t>
        </is>
      </c>
      <c r="D38" s="1" t="inlineStr">
        <is>
          <t>M5 2026</t>
        </is>
      </c>
      <c r="E38" s="1" t="inlineStr">
        <is>
          <t>A3449</t>
        </is>
      </c>
      <c r="F38" s="1" t="inlineStr">
        <is>
          <t>Apple</t>
        </is>
      </c>
      <c r="G38" s="1" t="inlineStr">
        <is>
          <t>Lim Kok Teong</t>
        </is>
      </c>
      <c r="H38" s="1" t="inlineStr">
        <is>
          <t>user</t>
        </is>
      </c>
      <c r="I38" s="1" t="inlineStr">
        <is>
          <t>lkt</t>
        </is>
      </c>
      <c r="J38" s="1" t="inlineStr">
        <is>
          <t>Manufacturing</t>
        </is>
      </c>
      <c r="K38" s="1" t="inlineStr">
        <is>
          <t>Ready to Deploy (deployed)</t>
        </is>
      </c>
    </row>
    <row r="39">
      <c r="A39" s="1" t="n">
        <v>101</v>
      </c>
      <c r="B39" s="1" t="inlineStr">
        <is>
          <t>Laptop Thinkpad</t>
        </is>
      </c>
      <c r="C39" s="1" t="inlineStr">
        <is>
          <t>LAP2112W60002</t>
        </is>
      </c>
      <c r="D39" s="1" t="inlineStr">
        <is>
          <t>P14s</t>
        </is>
      </c>
      <c r="E39" s="1" t="inlineStr">
        <is>
          <t>P14s</t>
        </is>
      </c>
      <c r="F39" s="1" t="inlineStr">
        <is>
          <t>Lenovo</t>
        </is>
      </c>
      <c r="G39" s="1" t="inlineStr">
        <is>
          <t>Aiman Azmel</t>
        </is>
      </c>
      <c r="H39" s="1" t="inlineStr">
        <is>
          <t>user</t>
        </is>
      </c>
      <c r="I39" s="1" t="inlineStr">
        <is>
          <t>aiman.azmel</t>
        </is>
      </c>
      <c r="J39" s="1" t="inlineStr">
        <is>
          <t>Mechanical Design</t>
        </is>
      </c>
      <c r="K39" s="1" t="inlineStr">
        <is>
          <t>Ready to Deploy (deployed)</t>
        </is>
      </c>
    </row>
    <row r="40">
      <c r="A40" s="1" t="n">
        <v>103</v>
      </c>
      <c r="B40" s="1" t="inlineStr">
        <is>
          <t>Laptop Thinkpad</t>
        </is>
      </c>
      <c r="C40" s="1" t="inlineStr">
        <is>
          <t>LAP2112W60004</t>
        </is>
      </c>
      <c r="D40" s="1" t="inlineStr">
        <is>
          <t>P14s</t>
        </is>
      </c>
      <c r="E40" s="1" t="inlineStr">
        <is>
          <t>P14s</t>
        </is>
      </c>
      <c r="F40" s="1" t="inlineStr">
        <is>
          <t>Lenovo</t>
        </is>
      </c>
      <c r="G40" s="1" t="inlineStr">
        <is>
          <t>Akhmal Ezam</t>
        </is>
      </c>
      <c r="H40" s="1" t="inlineStr">
        <is>
          <t>user</t>
        </is>
      </c>
      <c r="I40" s="1" t="inlineStr">
        <is>
          <t>akhmal.ezam</t>
        </is>
      </c>
      <c r="J40" s="1" t="inlineStr">
        <is>
          <t>Mechanical Design</t>
        </is>
      </c>
      <c r="K40" s="1" t="inlineStr">
        <is>
          <t>Ready to Deploy (deployed)</t>
        </is>
      </c>
    </row>
    <row r="41">
      <c r="A41" s="1" t="n">
        <v>394</v>
      </c>
      <c r="B41" s="1" t="inlineStr">
        <is>
          <t>Laptop Latitude</t>
        </is>
      </c>
      <c r="C41" s="1" t="inlineStr">
        <is>
          <t>JKS-IT-2311-253</t>
        </is>
      </c>
      <c r="D41" s="1" t="n">
        <v>5400</v>
      </c>
      <c r="E41" s="1" t="n">
        <v>5400</v>
      </c>
      <c r="F41" s="1" t="inlineStr">
        <is>
          <t>Dell</t>
        </is>
      </c>
      <c r="G41" s="1" t="inlineStr">
        <is>
          <t>Haidir Hamdan</t>
        </is>
      </c>
      <c r="H41" s="1" t="inlineStr">
        <is>
          <t>user</t>
        </is>
      </c>
      <c r="I41" s="1" t="inlineStr">
        <is>
          <t>haidir.hamdan</t>
        </is>
      </c>
      <c r="J41" s="1" t="inlineStr">
        <is>
          <t>Mechanical Design</t>
        </is>
      </c>
      <c r="K41" s="1" t="inlineStr">
        <is>
          <t>Ready to Deploy (deployed)</t>
        </is>
      </c>
    </row>
    <row r="42">
      <c r="A42" s="1" t="n">
        <v>102</v>
      </c>
      <c r="B42" s="1" t="inlineStr">
        <is>
          <t>Laptop Thinkpad</t>
        </is>
      </c>
      <c r="C42" s="1" t="inlineStr">
        <is>
          <t>LAP2112W60003</t>
        </is>
      </c>
      <c r="D42" s="1" t="inlineStr">
        <is>
          <t>P14s</t>
        </is>
      </c>
      <c r="E42" s="1" t="inlineStr">
        <is>
          <t>P14s</t>
        </is>
      </c>
      <c r="F42" s="1" t="inlineStr">
        <is>
          <t>Lenovo</t>
        </is>
      </c>
      <c r="G42" s="1" t="inlineStr">
        <is>
          <t>Izzah Anif</t>
        </is>
      </c>
      <c r="H42" s="1" t="inlineStr">
        <is>
          <t>user</t>
        </is>
      </c>
      <c r="I42" s="1" t="inlineStr">
        <is>
          <t>izzah.anif</t>
        </is>
      </c>
      <c r="J42" s="1" t="inlineStr">
        <is>
          <t>Mechanical Design</t>
        </is>
      </c>
      <c r="K42" s="1" t="inlineStr">
        <is>
          <t>Ready to Deploy (deployed)</t>
        </is>
      </c>
    </row>
    <row r="43">
      <c r="A43" s="1" t="n">
        <v>100</v>
      </c>
      <c r="B43" s="1" t="inlineStr">
        <is>
          <t>Laptop Thinkpad</t>
        </is>
      </c>
      <c r="C43" s="1" t="inlineStr">
        <is>
          <t>LAP2112W60001</t>
        </is>
      </c>
      <c r="D43" s="1" t="inlineStr">
        <is>
          <t>P14s</t>
        </is>
      </c>
      <c r="E43" s="1" t="inlineStr">
        <is>
          <t>P14s</t>
        </is>
      </c>
      <c r="F43" s="1" t="inlineStr">
        <is>
          <t>Lenovo</t>
        </is>
      </c>
      <c r="G43" s="1" t="inlineStr">
        <is>
          <t>Chong Jun Yao</t>
        </is>
      </c>
      <c r="H43" s="1" t="inlineStr">
        <is>
          <t>user</t>
        </is>
      </c>
      <c r="I43" s="1" t="inlineStr">
        <is>
          <t>junyao.chong</t>
        </is>
      </c>
      <c r="J43" s="1" t="inlineStr">
        <is>
          <t>Mechanical Design</t>
        </is>
      </c>
      <c r="K43" s="1" t="inlineStr">
        <is>
          <t>Ready to Deploy (deployed)</t>
        </is>
      </c>
    </row>
    <row r="44">
      <c r="A44" s="1" t="n">
        <v>26</v>
      </c>
      <c r="B44" s="1" t="inlineStr">
        <is>
          <t>Laptop Thinkpad</t>
        </is>
      </c>
      <c r="C44" s="1" t="inlineStr">
        <is>
          <t>LAP2112W60007</t>
        </is>
      </c>
      <c r="D44" s="1" t="inlineStr">
        <is>
          <t>P14s</t>
        </is>
      </c>
      <c r="E44" s="1" t="inlineStr">
        <is>
          <t>P14s</t>
        </is>
      </c>
      <c r="F44" s="1" t="inlineStr">
        <is>
          <t>Lenovo</t>
        </is>
      </c>
      <c r="G44" s="1" t="inlineStr">
        <is>
          <t>Zaki Asmanan</t>
        </is>
      </c>
      <c r="H44" s="1" t="inlineStr">
        <is>
          <t>user</t>
        </is>
      </c>
      <c r="I44" s="1" t="inlineStr">
        <is>
          <t>zaki.asmanan</t>
        </is>
      </c>
      <c r="J44" s="1" t="inlineStr">
        <is>
          <t>Mechanical Design</t>
        </is>
      </c>
      <c r="K44" s="1" t="inlineStr">
        <is>
          <t>Ready to Deploy (deployed)</t>
        </is>
      </c>
    </row>
    <row r="45">
      <c r="A45" s="1" t="n">
        <v>466</v>
      </c>
      <c r="B45" s="1" t="inlineStr">
        <is>
          <t>DESKTOP-9THFSHB</t>
        </is>
      </c>
      <c r="C45" s="1" t="inlineStr">
        <is>
          <t>JKS-IT-2512-325</t>
        </is>
      </c>
      <c r="D45" s="1" t="inlineStr">
        <is>
          <t>Latitude 5520</t>
        </is>
      </c>
      <c r="F45" s="1" t="inlineStr">
        <is>
          <t>Dell</t>
        </is>
      </c>
      <c r="G45" s="1" t="inlineStr">
        <is>
          <t>Hong Soon Eng</t>
        </is>
      </c>
      <c r="H45" s="1" t="inlineStr">
        <is>
          <t>user</t>
        </is>
      </c>
      <c r="I45" s="1" t="inlineStr">
        <is>
          <t>sooneng.hong</t>
        </is>
      </c>
      <c r="J45" s="1" t="inlineStr">
        <is>
          <t>Mechanical Design</t>
        </is>
      </c>
      <c r="K45" s="1" t="inlineStr">
        <is>
          <t>Ready to Deploy (deployed)</t>
        </is>
      </c>
    </row>
    <row r="46">
      <c r="A46" s="1" t="n">
        <v>355</v>
      </c>
      <c r="B46" s="1" t="inlineStr">
        <is>
          <t>Macbook Air M1</t>
        </is>
      </c>
      <c r="C46" s="1" t="inlineStr">
        <is>
          <t>JKS-IT-2308-215</t>
        </is>
      </c>
      <c r="D46" s="1" t="inlineStr">
        <is>
          <t>2020 13"</t>
        </is>
      </c>
      <c r="E46" s="1" t="inlineStr">
        <is>
          <t>A2337</t>
        </is>
      </c>
      <c r="F46" s="1" t="inlineStr">
        <is>
          <t>Apple</t>
        </is>
      </c>
      <c r="G46" s="1" t="inlineStr">
        <is>
          <t>Ng Wan Teng</t>
        </is>
      </c>
      <c r="H46" s="1" t="inlineStr">
        <is>
          <t>user</t>
        </is>
      </c>
      <c r="I46" s="1" t="inlineStr">
        <is>
          <t>nwt</t>
        </is>
      </c>
      <c r="J46" s="1" t="inlineStr">
        <is>
          <t>Operation Control</t>
        </is>
      </c>
      <c r="K46" s="1" t="inlineStr">
        <is>
          <t>Ready to Deploy (deployed)</t>
        </is>
      </c>
    </row>
    <row r="47">
      <c r="A47" s="1" t="n">
        <v>116</v>
      </c>
      <c r="B47" s="1" t="inlineStr">
        <is>
          <t>Laptop Thinkpad</t>
        </is>
      </c>
      <c r="C47" s="1" t="inlineStr">
        <is>
          <t>LAP2112W36009</t>
        </is>
      </c>
      <c r="D47" s="1" t="inlineStr">
        <is>
          <t>L15</t>
        </is>
      </c>
      <c r="E47" s="1" t="inlineStr">
        <is>
          <t>L15</t>
        </is>
      </c>
      <c r="F47" s="1" t="inlineStr">
        <is>
          <t>Lenovo</t>
        </is>
      </c>
      <c r="G47" s="1" t="inlineStr">
        <is>
          <t>Ashiqin Shahrunizam</t>
        </is>
      </c>
      <c r="H47" s="1" t="inlineStr">
        <is>
          <t>user</t>
        </is>
      </c>
      <c r="I47" s="1" t="inlineStr">
        <is>
          <t>ashiqin.shahrunizam</t>
        </is>
      </c>
      <c r="J47" s="1" t="inlineStr">
        <is>
          <t>Operation Control</t>
        </is>
      </c>
      <c r="K47" s="1" t="inlineStr">
        <is>
          <t>Ready to Deploy (deployed)</t>
        </is>
      </c>
    </row>
    <row r="48">
      <c r="A48" s="1" t="n">
        <v>64</v>
      </c>
      <c r="B48" s="1" t="inlineStr">
        <is>
          <t>Laptop Vostro</t>
        </is>
      </c>
      <c r="C48" s="1" t="inlineStr">
        <is>
          <t>LAP1311W15001</t>
        </is>
      </c>
      <c r="D48" s="1" t="n">
        <v>5568</v>
      </c>
      <c r="E48" s="1" t="n">
        <v>5568</v>
      </c>
      <c r="F48" s="1" t="inlineStr">
        <is>
          <t>Dell</t>
        </is>
      </c>
      <c r="G48" s="1" t="inlineStr">
        <is>
          <t>Irfan Hasim</t>
        </is>
      </c>
      <c r="H48" s="1" t="inlineStr">
        <is>
          <t>user</t>
        </is>
      </c>
      <c r="I48" s="1" t="inlineStr">
        <is>
          <t>irfan.hasim</t>
        </is>
      </c>
      <c r="J48" s="1" t="inlineStr">
        <is>
          <t>Optimus Drive</t>
        </is>
      </c>
      <c r="K48" s="1" t="inlineStr">
        <is>
          <t>Ready to Deploy (deployed)</t>
        </is>
      </c>
    </row>
    <row r="49">
      <c r="A49" s="1" t="n">
        <v>397</v>
      </c>
      <c r="B49" s="1" t="inlineStr">
        <is>
          <t>Laptop Latitude</t>
        </is>
      </c>
      <c r="C49" s="1" t="inlineStr">
        <is>
          <t>JKS-IT-2311-256</t>
        </is>
      </c>
      <c r="D49" s="1" t="n">
        <v>5400</v>
      </c>
      <c r="E49" s="1" t="n">
        <v>5400</v>
      </c>
      <c r="F49" s="1" t="inlineStr">
        <is>
          <t>Dell</t>
        </is>
      </c>
      <c r="G49" s="1" t="inlineStr">
        <is>
          <t>Arijey Sanjeeth</t>
        </is>
      </c>
      <c r="H49" s="1" t="inlineStr">
        <is>
          <t>user</t>
        </is>
      </c>
      <c r="I49" s="1" t="inlineStr">
        <is>
          <t>arijey.sanjeeth</t>
        </is>
      </c>
      <c r="J49" s="1" t="inlineStr">
        <is>
          <t>Process &amp; Lab</t>
        </is>
      </c>
      <c r="K49" s="1" t="inlineStr">
        <is>
          <t>Ready to Deploy (deployed)</t>
        </is>
      </c>
    </row>
    <row r="50">
      <c r="A50" s="1" t="n">
        <v>395</v>
      </c>
      <c r="B50" s="1" t="inlineStr">
        <is>
          <t>Laptop Latitude</t>
        </is>
      </c>
      <c r="C50" s="1" t="inlineStr">
        <is>
          <t>JKS-IT-2311-254</t>
        </is>
      </c>
      <c r="D50" s="1" t="n">
        <v>5400</v>
      </c>
      <c r="E50" s="1" t="n">
        <v>5400</v>
      </c>
      <c r="F50" s="1" t="inlineStr">
        <is>
          <t>Dell</t>
        </is>
      </c>
      <c r="G50" s="1" t="inlineStr">
        <is>
          <t>Raja Nur Atikah Raja Azam Shah</t>
        </is>
      </c>
      <c r="H50" s="1" t="inlineStr">
        <is>
          <t>user</t>
        </is>
      </c>
      <c r="I50" s="1" t="inlineStr">
        <is>
          <t>atikah.azam</t>
        </is>
      </c>
      <c r="J50" s="1" t="inlineStr">
        <is>
          <t>Process &amp; Lab</t>
        </is>
      </c>
      <c r="K50" s="1" t="inlineStr">
        <is>
          <t>Ready to Deploy (deployed)</t>
        </is>
      </c>
    </row>
    <row r="51">
      <c r="A51" s="1" t="n">
        <v>118</v>
      </c>
      <c r="B51" s="1" t="inlineStr">
        <is>
          <t>Laptop Thinkpad</t>
        </is>
      </c>
      <c r="C51" s="1" t="inlineStr">
        <is>
          <t>LAP2112W36008</t>
        </is>
      </c>
      <c r="D51" s="1" t="inlineStr">
        <is>
          <t>L15</t>
        </is>
      </c>
      <c r="E51" s="1" t="inlineStr">
        <is>
          <t>L15</t>
        </is>
      </c>
      <c r="F51" s="1" t="inlineStr">
        <is>
          <t>Lenovo</t>
        </is>
      </c>
      <c r="G51" s="1" t="inlineStr">
        <is>
          <t>Vinotha Chandra</t>
        </is>
      </c>
      <c r="H51" s="1" t="inlineStr">
        <is>
          <t>user</t>
        </is>
      </c>
      <c r="I51" s="1" t="inlineStr">
        <is>
          <t>vin</t>
        </is>
      </c>
      <c r="J51" s="1" t="inlineStr">
        <is>
          <t>Process &amp; Lab</t>
        </is>
      </c>
      <c r="K51" s="1" t="inlineStr">
        <is>
          <t>Ready to Deploy (deployed)</t>
        </is>
      </c>
    </row>
    <row r="52">
      <c r="A52" s="1" t="n">
        <v>8</v>
      </c>
      <c r="B52" t="inlineStr">
        <is>
          <t>Laptop Latitude</t>
        </is>
      </c>
      <c r="C52" t="inlineStr">
        <is>
          <t>DESKTOP-91977</t>
        </is>
      </c>
      <c r="D52" t="inlineStr">
        <is>
          <t>E5470</t>
        </is>
      </c>
      <c r="E52" t="inlineStr">
        <is>
          <t>E5470</t>
        </is>
      </c>
      <c r="F52" s="1" t="inlineStr">
        <is>
          <t>Dell</t>
        </is>
      </c>
      <c r="G52" t="inlineStr">
        <is>
          <t>Parany Surendran</t>
        </is>
      </c>
      <c r="H52" s="1" t="inlineStr">
        <is>
          <t>user</t>
        </is>
      </c>
      <c r="I52" t="inlineStr">
        <is>
          <t>parany.surendran</t>
        </is>
      </c>
      <c r="J52" t="inlineStr">
        <is>
          <t>Process &amp; Lab</t>
        </is>
      </c>
      <c r="K52" t="inlineStr">
        <is>
          <t>Leasing Unit (deployed)</t>
        </is>
      </c>
    </row>
    <row r="53">
      <c r="A53" s="1" t="n">
        <v>30</v>
      </c>
      <c r="B53" s="1" t="inlineStr">
        <is>
          <t>Desktop OptiPlex</t>
        </is>
      </c>
      <c r="C53" s="1" t="inlineStr">
        <is>
          <t>DES1911W06008 / DESKTOP-JM7QL49</t>
        </is>
      </c>
      <c r="D53" s="1" t="inlineStr">
        <is>
          <t>MT3020</t>
        </is>
      </c>
      <c r="E53" s="1" t="inlineStr">
        <is>
          <t>MT3020</t>
        </is>
      </c>
      <c r="F53" s="1" t="inlineStr">
        <is>
          <t>Dell</t>
        </is>
      </c>
      <c r="G53" s="1" t="inlineStr">
        <is>
          <t>Paramasivam Samynathan</t>
        </is>
      </c>
      <c r="H53" s="1" t="inlineStr">
        <is>
          <t>user</t>
        </is>
      </c>
      <c r="I53" s="1" t="inlineStr">
        <is>
          <t>prm</t>
        </is>
      </c>
      <c r="J53" s="1" t="inlineStr">
        <is>
          <t>Production</t>
        </is>
      </c>
      <c r="K53" s="1" t="inlineStr">
        <is>
          <t>Ready to Deploy (deployed)</t>
        </is>
      </c>
    </row>
    <row r="54">
      <c r="A54" s="1" t="n">
        <v>10</v>
      </c>
      <c r="B54" s="1" t="inlineStr">
        <is>
          <t>Laptop Inspiron</t>
        </is>
      </c>
      <c r="C54" s="1" t="inlineStr">
        <is>
          <t>LAP1912W12001</t>
        </is>
      </c>
      <c r="D54" s="1" t="n">
        <v>3593</v>
      </c>
      <c r="E54" s="1" t="n">
        <v>3593</v>
      </c>
      <c r="F54" s="1" t="inlineStr">
        <is>
          <t>Dell</t>
        </is>
      </c>
      <c r="G54" s="1" t="inlineStr">
        <is>
          <t>Ridzuan Anuar</t>
        </is>
      </c>
      <c r="H54" s="1" t="inlineStr">
        <is>
          <t>user</t>
        </is>
      </c>
      <c r="I54" s="1" t="inlineStr">
        <is>
          <t>ridzuan.anuar</t>
        </is>
      </c>
      <c r="J54" s="1" t="inlineStr">
        <is>
          <t>Production</t>
        </is>
      </c>
      <c r="K54" s="1" t="inlineStr">
        <is>
          <t>Ready to Deploy (deployed)</t>
        </is>
      </c>
    </row>
    <row r="55">
      <c r="A55" s="1" t="n">
        <v>121</v>
      </c>
      <c r="B55" s="1" t="inlineStr">
        <is>
          <t>Macbook Pro</t>
        </is>
      </c>
      <c r="C55" s="1" t="inlineStr">
        <is>
          <t>LAP2203W12001</t>
        </is>
      </c>
      <c r="D55" s="1" t="inlineStr">
        <is>
          <t>2019 16" Touchbar</t>
        </is>
      </c>
      <c r="E55" s="1" t="inlineStr">
        <is>
          <t>2019 16" Touchbar</t>
        </is>
      </c>
      <c r="F55" s="1" t="inlineStr">
        <is>
          <t>Apple</t>
        </is>
      </c>
      <c r="G55" s="1" t="inlineStr">
        <is>
          <t>Lee Sing Lee</t>
        </is>
      </c>
      <c r="H55" s="1" t="inlineStr">
        <is>
          <t>user</t>
        </is>
      </c>
      <c r="I55" s="1" t="inlineStr">
        <is>
          <t>lsl</t>
        </is>
      </c>
      <c r="J55" s="1" t="inlineStr">
        <is>
          <t>Production</t>
        </is>
      </c>
      <c r="K55" s="1" t="inlineStr">
        <is>
          <t>Ready to Deploy (deployed)</t>
        </is>
      </c>
    </row>
    <row r="56">
      <c r="A56" s="1" t="n">
        <v>178</v>
      </c>
      <c r="B56" s="1" t="inlineStr">
        <is>
          <t>Laptop Latitude</t>
        </is>
      </c>
      <c r="C56" s="1" t="inlineStr">
        <is>
          <t>DESKTOP-LBMSK2L</t>
        </is>
      </c>
      <c r="D56" s="1" t="inlineStr">
        <is>
          <t>E7270</t>
        </is>
      </c>
      <c r="E56" s="1" t="inlineStr">
        <is>
          <t>E7270</t>
        </is>
      </c>
      <c r="F56" s="1" t="inlineStr">
        <is>
          <t>Dell</t>
        </is>
      </c>
      <c r="G56" s="1" t="inlineStr">
        <is>
          <t>Anizan Ahmad</t>
        </is>
      </c>
      <c r="H56" s="1" t="inlineStr">
        <is>
          <t>user</t>
        </is>
      </c>
      <c r="I56" s="1" t="inlineStr">
        <is>
          <t>anizan.ahmad</t>
        </is>
      </c>
      <c r="J56" s="1" t="inlineStr">
        <is>
          <t>Production</t>
        </is>
      </c>
      <c r="K56" s="1" t="inlineStr">
        <is>
          <t>Ready to Deploy (deployed)</t>
        </is>
      </c>
    </row>
    <row r="57">
      <c r="A57" s="1" t="n">
        <v>173</v>
      </c>
      <c r="B57" s="1" t="inlineStr">
        <is>
          <t>Laptop Latitude</t>
        </is>
      </c>
      <c r="C57" s="1" t="inlineStr">
        <is>
          <t>DESKTOP-8RFFJEK</t>
        </is>
      </c>
      <c r="D57" s="1" t="inlineStr">
        <is>
          <t>E7270</t>
        </is>
      </c>
      <c r="E57" s="1" t="inlineStr">
        <is>
          <t>E7270</t>
        </is>
      </c>
      <c r="F57" s="1" t="inlineStr">
        <is>
          <t>Dell</t>
        </is>
      </c>
      <c r="G57" s="1" t="inlineStr">
        <is>
          <t>Azman Ibrahim</t>
        </is>
      </c>
      <c r="H57" s="1" t="inlineStr">
        <is>
          <t>user</t>
        </is>
      </c>
      <c r="I57" s="1" t="inlineStr">
        <is>
          <t>azman.ibrahim</t>
        </is>
      </c>
      <c r="J57" s="1" t="inlineStr">
        <is>
          <t>Production</t>
        </is>
      </c>
      <c r="K57" s="1" t="inlineStr">
        <is>
          <t>Ready to Deploy (deployed)</t>
        </is>
      </c>
    </row>
    <row r="58">
      <c r="A58" s="1" t="n">
        <v>166</v>
      </c>
      <c r="B58" s="1" t="inlineStr">
        <is>
          <t>Laptop Latitude</t>
        </is>
      </c>
      <c r="C58" s="1" t="inlineStr">
        <is>
          <t>DESKTOP-6TDDD54</t>
        </is>
      </c>
      <c r="D58" s="1" t="inlineStr">
        <is>
          <t>E7270</t>
        </is>
      </c>
      <c r="E58" s="1" t="inlineStr">
        <is>
          <t>E7270</t>
        </is>
      </c>
      <c r="F58" s="1" t="inlineStr">
        <is>
          <t>Dell</t>
        </is>
      </c>
      <c r="G58" s="1" t="inlineStr">
        <is>
          <t>Bobby Ng Chai Hwang</t>
        </is>
      </c>
      <c r="H58" s="1" t="inlineStr">
        <is>
          <t>user</t>
        </is>
      </c>
      <c r="I58" s="1" t="inlineStr">
        <is>
          <t>chaihwang.ng</t>
        </is>
      </c>
      <c r="J58" s="1" t="inlineStr">
        <is>
          <t>Production</t>
        </is>
      </c>
      <c r="K58" s="1" t="inlineStr">
        <is>
          <t>Ready to Deploy (deployed)</t>
        </is>
      </c>
    </row>
    <row r="59">
      <c r="A59" s="1" t="n">
        <v>169</v>
      </c>
      <c r="B59" s="1" t="inlineStr">
        <is>
          <t>Laptop Latitude</t>
        </is>
      </c>
      <c r="C59" s="1" t="inlineStr">
        <is>
          <t>DESKTOP-CJKRQ3S</t>
        </is>
      </c>
      <c r="D59" s="1" t="inlineStr">
        <is>
          <t>E7270</t>
        </is>
      </c>
      <c r="E59" s="1" t="inlineStr">
        <is>
          <t>E7270</t>
        </is>
      </c>
      <c r="F59" s="1" t="inlineStr">
        <is>
          <t>Dell</t>
        </is>
      </c>
      <c r="G59" s="1" t="inlineStr">
        <is>
          <t>Fairus Toha</t>
        </is>
      </c>
      <c r="H59" s="1" t="inlineStr">
        <is>
          <t>user</t>
        </is>
      </c>
      <c r="I59" s="1" t="inlineStr">
        <is>
          <t>fairus.toha</t>
        </is>
      </c>
      <c r="J59" s="1" t="inlineStr">
        <is>
          <t>Production</t>
        </is>
      </c>
      <c r="K59" s="1" t="inlineStr">
        <is>
          <t>Ready to Deploy (deployed)</t>
        </is>
      </c>
    </row>
    <row r="60">
      <c r="A60" s="1" t="n">
        <v>167</v>
      </c>
      <c r="B60" s="1" t="inlineStr">
        <is>
          <t>Laptop Latitude</t>
        </is>
      </c>
      <c r="C60" s="1" t="inlineStr">
        <is>
          <t>DESKTOP-MKB7DJ0</t>
        </is>
      </c>
      <c r="D60" s="1" t="inlineStr">
        <is>
          <t>E7270</t>
        </is>
      </c>
      <c r="E60" s="1" t="inlineStr">
        <is>
          <t>E7270</t>
        </is>
      </c>
      <c r="F60" s="1" t="inlineStr">
        <is>
          <t>Dell</t>
        </is>
      </c>
      <c r="G60" s="1" t="inlineStr">
        <is>
          <t>Junaidi Sahal</t>
        </is>
      </c>
      <c r="H60" s="1" t="inlineStr">
        <is>
          <t>user</t>
        </is>
      </c>
      <c r="I60" s="1" t="inlineStr">
        <is>
          <t>junaidi.sahal</t>
        </is>
      </c>
      <c r="J60" s="1" t="inlineStr">
        <is>
          <t>Production</t>
        </is>
      </c>
      <c r="K60" s="1" t="inlineStr">
        <is>
          <t>Ready to Deploy (deployed)</t>
        </is>
      </c>
    </row>
    <row r="61">
      <c r="A61" s="1" t="n">
        <v>172</v>
      </c>
      <c r="B61" s="1" t="inlineStr">
        <is>
          <t>Laptop Latitude</t>
        </is>
      </c>
      <c r="C61" s="1" t="inlineStr">
        <is>
          <t>DESKTOP-2S9JN03</t>
        </is>
      </c>
      <c r="D61" s="1" t="inlineStr">
        <is>
          <t>E7270</t>
        </is>
      </c>
      <c r="E61" s="1" t="inlineStr">
        <is>
          <t>E7270</t>
        </is>
      </c>
      <c r="F61" s="1" t="inlineStr">
        <is>
          <t>Dell</t>
        </is>
      </c>
      <c r="G61" s="1" t="inlineStr">
        <is>
          <t>Tan Poh Sheng</t>
        </is>
      </c>
      <c r="H61" s="1" t="inlineStr">
        <is>
          <t>user</t>
        </is>
      </c>
      <c r="I61" s="1" t="inlineStr">
        <is>
          <t>pohsheng.tan</t>
        </is>
      </c>
      <c r="J61" s="1" t="inlineStr">
        <is>
          <t>Production</t>
        </is>
      </c>
      <c r="K61" s="1" t="inlineStr">
        <is>
          <t>Ready to Deploy (deployed)</t>
        </is>
      </c>
    </row>
    <row r="62">
      <c r="A62" s="1" t="n">
        <v>165</v>
      </c>
      <c r="B62" s="1" t="inlineStr">
        <is>
          <t>Laptop Latitude</t>
        </is>
      </c>
      <c r="C62" s="1" t="inlineStr">
        <is>
          <t>DESKTOP-S2A24SB</t>
        </is>
      </c>
      <c r="D62" s="1" t="inlineStr">
        <is>
          <t>E7270</t>
        </is>
      </c>
      <c r="E62" s="1" t="inlineStr">
        <is>
          <t>E7270</t>
        </is>
      </c>
      <c r="F62" s="1" t="inlineStr">
        <is>
          <t>Dell</t>
        </is>
      </c>
      <c r="G62" s="1" t="inlineStr">
        <is>
          <t>Whaidul Islam</t>
        </is>
      </c>
      <c r="H62" s="1" t="inlineStr">
        <is>
          <t>user</t>
        </is>
      </c>
      <c r="I62" s="1" t="inlineStr">
        <is>
          <t>whaidul.islam</t>
        </is>
      </c>
      <c r="J62" s="1" t="inlineStr">
        <is>
          <t>Production</t>
        </is>
      </c>
      <c r="K62" s="1" t="inlineStr">
        <is>
          <t>Ready to Deploy (deployed)</t>
        </is>
      </c>
    </row>
    <row r="63">
      <c r="A63" s="1" t="n">
        <v>175</v>
      </c>
      <c r="B63" t="inlineStr">
        <is>
          <t>Laptop Latitude</t>
        </is>
      </c>
      <c r="C63" t="inlineStr">
        <is>
          <t>DESKTOP-91941</t>
        </is>
      </c>
      <c r="D63" t="inlineStr">
        <is>
          <t>E5470</t>
        </is>
      </c>
      <c r="E63" t="inlineStr">
        <is>
          <t>E5470</t>
        </is>
      </c>
      <c r="F63" s="1" t="inlineStr">
        <is>
          <t>Dell</t>
        </is>
      </c>
      <c r="G63" t="inlineStr">
        <is>
          <t>Azwa Roslan</t>
        </is>
      </c>
      <c r="H63" s="1" t="inlineStr">
        <is>
          <t>user</t>
        </is>
      </c>
      <c r="I63" t="inlineStr">
        <is>
          <t>azwa.roslan</t>
        </is>
      </c>
      <c r="J63" t="inlineStr">
        <is>
          <t>Production</t>
        </is>
      </c>
      <c r="K63" t="inlineStr">
        <is>
          <t>Leasing Unit (deployed)</t>
        </is>
      </c>
    </row>
    <row r="64">
      <c r="A64" s="1" t="n">
        <v>468</v>
      </c>
      <c r="B64" t="inlineStr">
        <is>
          <t>Laptop Latitude</t>
        </is>
      </c>
      <c r="C64" t="inlineStr">
        <is>
          <t>DESKTOP-91966</t>
        </is>
      </c>
      <c r="D64" t="inlineStr">
        <is>
          <t>E5470</t>
        </is>
      </c>
      <c r="E64" t="inlineStr">
        <is>
          <t>E5470</t>
        </is>
      </c>
      <c r="F64" s="1" t="inlineStr">
        <is>
          <t>Dell</t>
        </is>
      </c>
      <c r="G64" t="inlineStr">
        <is>
          <t>Bakri Ismail</t>
        </is>
      </c>
      <c r="H64" s="1" t="inlineStr">
        <is>
          <t>user</t>
        </is>
      </c>
      <c r="I64" t="inlineStr">
        <is>
          <t>bkr</t>
        </is>
      </c>
      <c r="J64" t="inlineStr">
        <is>
          <t>Production</t>
        </is>
      </c>
      <c r="K64" t="inlineStr">
        <is>
          <t>Leasing Unit (deployed)</t>
        </is>
      </c>
    </row>
    <row r="65">
      <c r="A65" s="1" t="n">
        <v>12</v>
      </c>
      <c r="B65" t="inlineStr">
        <is>
          <t>Laptop Latitude</t>
        </is>
      </c>
      <c r="C65" t="inlineStr">
        <is>
          <t>DESKTOP-91976</t>
        </is>
      </c>
      <c r="D65" t="inlineStr">
        <is>
          <t>E5470</t>
        </is>
      </c>
      <c r="E65" t="inlineStr">
        <is>
          <t>E5470</t>
        </is>
      </c>
      <c r="F65" s="1" t="inlineStr">
        <is>
          <t>Dell</t>
        </is>
      </c>
      <c r="G65" s="1" t="inlineStr">
        <is>
          <t>NurHazwani</t>
        </is>
      </c>
      <c r="H65" s="1" t="inlineStr">
        <is>
          <t>user</t>
        </is>
      </c>
      <c r="J65" s="1" t="inlineStr">
        <is>
          <t>Production</t>
        </is>
      </c>
      <c r="K65" t="inlineStr">
        <is>
          <t>Leasing Unit (deployable)</t>
        </is>
      </c>
    </row>
    <row r="66">
      <c r="A66" s="1" t="n">
        <v>119</v>
      </c>
      <c r="B66" t="inlineStr">
        <is>
          <t>Laptop Latitude</t>
        </is>
      </c>
      <c r="C66" s="1" t="inlineStr">
        <is>
          <t>DESKTOP-6PF3T7Q</t>
        </is>
      </c>
      <c r="D66" s="1" t="inlineStr">
        <is>
          <t>E7270</t>
        </is>
      </c>
      <c r="E66" s="1" t="inlineStr">
        <is>
          <t>E7270</t>
        </is>
      </c>
      <c r="F66" s="1" t="inlineStr">
        <is>
          <t>Dell</t>
        </is>
      </c>
      <c r="G66" s="1" t="inlineStr">
        <is>
          <t>Assembly</t>
        </is>
      </c>
      <c r="H66" s="1" t="inlineStr">
        <is>
          <t>Place</t>
        </is>
      </c>
      <c r="J66" s="1" t="inlineStr">
        <is>
          <t>Production</t>
        </is>
      </c>
      <c r="K66" s="1" t="inlineStr">
        <is>
          <t>Ready to Deploy (deployed)</t>
        </is>
      </c>
    </row>
    <row r="67">
      <c r="A67" s="1" t="n">
        <v>123</v>
      </c>
      <c r="B67" s="1" t="inlineStr">
        <is>
          <t>Desktop Optiplex</t>
        </is>
      </c>
      <c r="C67" s="1" t="inlineStr">
        <is>
          <t>DES1911W06009</t>
        </is>
      </c>
      <c r="D67" s="1" t="inlineStr">
        <is>
          <t>MT3020</t>
        </is>
      </c>
      <c r="E67" s="1" t="inlineStr">
        <is>
          <t>MT3020</t>
        </is>
      </c>
      <c r="F67" s="1" t="inlineStr">
        <is>
          <t>Dell</t>
        </is>
      </c>
      <c r="G67" s="1" t="inlineStr">
        <is>
          <t>Waterjet</t>
        </is>
      </c>
      <c r="H67" s="1" t="inlineStr">
        <is>
          <t>Place</t>
        </is>
      </c>
      <c r="J67" s="1" t="inlineStr">
        <is>
          <t>Production</t>
        </is>
      </c>
      <c r="K67" s="1" t="inlineStr">
        <is>
          <t>Ready to Deploy (deployed)</t>
        </is>
      </c>
    </row>
    <row r="68">
      <c r="A68" s="1" t="n">
        <v>217</v>
      </c>
      <c r="B68" s="1" t="inlineStr">
        <is>
          <t>Desktop OptiPlex</t>
        </is>
      </c>
      <c r="C68" s="1" t="inlineStr">
        <is>
          <t>DES1911W06003 / DESKTOP-KRGLIE7</t>
        </is>
      </c>
      <c r="D68" s="1" t="inlineStr">
        <is>
          <t>MT3020</t>
        </is>
      </c>
      <c r="E68" s="1" t="inlineStr">
        <is>
          <t>MT3020</t>
        </is>
      </c>
      <c r="F68" s="1" t="inlineStr">
        <is>
          <t>Dell</t>
        </is>
      </c>
      <c r="G68" s="1" t="inlineStr">
        <is>
          <t>Rosmaniza Arbain</t>
        </is>
      </c>
      <c r="H68" s="1" t="inlineStr">
        <is>
          <t>user</t>
        </is>
      </c>
      <c r="I68" s="1" t="inlineStr">
        <is>
          <t>ros</t>
        </is>
      </c>
      <c r="J68" s="1" t="inlineStr">
        <is>
          <t>Supply Chain</t>
        </is>
      </c>
      <c r="K68" s="1" t="inlineStr">
        <is>
          <t>Ready to Deploy (deployed)</t>
        </is>
      </c>
    </row>
    <row r="69">
      <c r="A69" s="1" t="n">
        <v>32</v>
      </c>
      <c r="B69" s="1" t="inlineStr">
        <is>
          <t>Desktop OptiPlex</t>
        </is>
      </c>
      <c r="C69" s="1" t="inlineStr">
        <is>
          <t>DES1911W06004 / DESKTOP-GRFI3SS</t>
        </is>
      </c>
      <c r="D69" s="1" t="inlineStr">
        <is>
          <t>MT3020</t>
        </is>
      </c>
      <c r="E69" s="1" t="inlineStr">
        <is>
          <t>MT3020</t>
        </is>
      </c>
      <c r="F69" s="1" t="inlineStr">
        <is>
          <t>Dell</t>
        </is>
      </c>
      <c r="G69" s="1" t="inlineStr">
        <is>
          <t>Selvakumaran Ramasamy</t>
        </is>
      </c>
      <c r="H69" s="1" t="inlineStr">
        <is>
          <t>user</t>
        </is>
      </c>
      <c r="I69" s="1" t="inlineStr">
        <is>
          <t>selva.ramasamy</t>
        </is>
      </c>
      <c r="J69" s="1" t="inlineStr">
        <is>
          <t>Supply Chain</t>
        </is>
      </c>
      <c r="K69" s="1" t="inlineStr">
        <is>
          <t>Ready to Deploy (deployed)</t>
        </is>
      </c>
    </row>
    <row r="70">
      <c r="A70" s="1" t="n">
        <v>153</v>
      </c>
      <c r="B70" t="inlineStr">
        <is>
          <t>Laptop Latitude</t>
        </is>
      </c>
      <c r="C70" t="inlineStr">
        <is>
          <t>DESKTOP-91986</t>
        </is>
      </c>
      <c r="D70" t="inlineStr">
        <is>
          <t>E5470</t>
        </is>
      </c>
      <c r="E70" t="inlineStr">
        <is>
          <t>E5470</t>
        </is>
      </c>
      <c r="F70" s="1" t="inlineStr">
        <is>
          <t>Dell</t>
        </is>
      </c>
      <c r="G70" t="inlineStr">
        <is>
          <t>Aina Roslan</t>
        </is>
      </c>
      <c r="H70" s="1" t="inlineStr">
        <is>
          <t>user</t>
        </is>
      </c>
      <c r="I70" t="inlineStr">
        <is>
          <t>aina.roslan</t>
        </is>
      </c>
      <c r="J70" t="inlineStr">
        <is>
          <t>Supply Chain</t>
        </is>
      </c>
      <c r="K70" t="inlineStr">
        <is>
          <t>Leasing Unit (deployed)</t>
        </is>
      </c>
    </row>
    <row r="71">
      <c r="A71" s="1" t="n">
        <v>154</v>
      </c>
      <c r="B71" t="inlineStr">
        <is>
          <t>Laptop Latitude</t>
        </is>
      </c>
      <c r="C71" t="inlineStr">
        <is>
          <t>DESKTOP-91967</t>
        </is>
      </c>
      <c r="D71" t="inlineStr">
        <is>
          <t>E5470</t>
        </is>
      </c>
      <c r="E71" t="inlineStr">
        <is>
          <t>E5470</t>
        </is>
      </c>
      <c r="F71" s="1" t="inlineStr">
        <is>
          <t>Dell</t>
        </is>
      </c>
      <c r="G71" t="inlineStr">
        <is>
          <t>Rosmaniza Arbain</t>
        </is>
      </c>
      <c r="H71" s="1" t="inlineStr">
        <is>
          <t>user</t>
        </is>
      </c>
      <c r="I71" t="inlineStr">
        <is>
          <t>ros</t>
        </is>
      </c>
      <c r="J71" t="inlineStr">
        <is>
          <t>Supply Chain</t>
        </is>
      </c>
      <c r="K71" t="inlineStr">
        <is>
          <t>Leasing Unit (deployed)</t>
        </is>
      </c>
    </row>
    <row r="72">
      <c r="A72" s="1" t="n">
        <v>162</v>
      </c>
      <c r="B72" t="inlineStr">
        <is>
          <t>Laptop Latitude</t>
        </is>
      </c>
      <c r="C72" t="inlineStr">
        <is>
          <t>DESKTOP-X1115</t>
        </is>
      </c>
      <c r="D72" t="inlineStr">
        <is>
          <t>E5470</t>
        </is>
      </c>
      <c r="E72" t="inlineStr">
        <is>
          <t>E5470</t>
        </is>
      </c>
      <c r="F72" s="1" t="inlineStr">
        <is>
          <t>Dell</t>
        </is>
      </c>
      <c r="G72" t="inlineStr">
        <is>
          <t>Aida Misri</t>
        </is>
      </c>
      <c r="H72" s="1" t="inlineStr">
        <is>
          <t>user</t>
        </is>
      </c>
      <c r="I72" t="inlineStr">
        <is>
          <t>aida.misri</t>
        </is>
      </c>
      <c r="J72" t="inlineStr">
        <is>
          <t>Supply Chain</t>
        </is>
      </c>
      <c r="K72" t="inlineStr">
        <is>
          <t>Leasing Unit (deployed)</t>
        </is>
      </c>
    </row>
    <row r="73">
      <c r="A73" s="1" t="n">
        <v>235</v>
      </c>
      <c r="B73" t="inlineStr">
        <is>
          <t>Laptop Latitude</t>
        </is>
      </c>
      <c r="C73" t="inlineStr">
        <is>
          <t>DESKTOP-91944</t>
        </is>
      </c>
      <c r="D73" t="inlineStr">
        <is>
          <t>E5470</t>
        </is>
      </c>
      <c r="E73" t="inlineStr">
        <is>
          <t>E5470</t>
        </is>
      </c>
      <c r="F73" s="1" t="inlineStr">
        <is>
          <t>Dell</t>
        </is>
      </c>
      <c r="G73" t="inlineStr">
        <is>
          <t>Shuada Ayub</t>
        </is>
      </c>
      <c r="H73" s="1" t="inlineStr">
        <is>
          <t>user</t>
        </is>
      </c>
      <c r="I73" t="inlineStr">
        <is>
          <t>gen</t>
        </is>
      </c>
      <c r="J73" t="inlineStr">
        <is>
          <t>Supply Chain</t>
        </is>
      </c>
      <c r="K73" t="inlineStr">
        <is>
          <t>Leasing Unit (deployed)</t>
        </is>
      </c>
    </row>
    <row r="74">
      <c r="A74" s="1" t="n">
        <v>20</v>
      </c>
      <c r="B74" t="inlineStr">
        <is>
          <t>Laptop Latitude</t>
        </is>
      </c>
      <c r="C74" t="inlineStr">
        <is>
          <t>DESKTOP-91978</t>
        </is>
      </c>
      <c r="D74" t="inlineStr">
        <is>
          <t>E5470</t>
        </is>
      </c>
      <c r="E74" t="inlineStr">
        <is>
          <t>E5470</t>
        </is>
      </c>
      <c r="F74" s="1" t="inlineStr">
        <is>
          <t>Dell</t>
        </is>
      </c>
      <c r="G74" t="inlineStr">
        <is>
          <t>Ng Wei Peng</t>
        </is>
      </c>
      <c r="H74" s="1" t="inlineStr">
        <is>
          <t>user</t>
        </is>
      </c>
      <c r="I74" t="inlineStr">
        <is>
          <t>weipeng.ng</t>
        </is>
      </c>
      <c r="J74" t="inlineStr">
        <is>
          <t>Supply Chain</t>
        </is>
      </c>
      <c r="K74" t="inlineStr">
        <is>
          <t>Leasing Unit (deployed)</t>
        </is>
      </c>
    </row>
    <row r="75">
      <c r="A75" s="1" t="n">
        <v>111</v>
      </c>
      <c r="B75" s="1" t="inlineStr">
        <is>
          <t>Laptop Thinkpad</t>
        </is>
      </c>
      <c r="C75" s="1" t="inlineStr">
        <is>
          <t>LAP2112W36002</t>
        </is>
      </c>
      <c r="D75" s="1" t="inlineStr">
        <is>
          <t>P14s</t>
        </is>
      </c>
      <c r="E75" s="1" t="inlineStr">
        <is>
          <t>P14s</t>
        </is>
      </c>
      <c r="F75" s="1" t="inlineStr">
        <is>
          <t>Lenovo</t>
        </is>
      </c>
      <c r="G75" s="1" t="inlineStr">
        <is>
          <t>Yeoh Chin Huat</t>
        </is>
      </c>
      <c r="H75" s="1" t="inlineStr">
        <is>
          <t>user</t>
        </is>
      </c>
      <c r="I75" s="1" t="inlineStr">
        <is>
          <t>ych</t>
        </is>
      </c>
      <c r="J75" s="1" t="inlineStr">
        <is>
          <t>Techno-Commercial</t>
        </is>
      </c>
      <c r="K75" s="1" t="inlineStr">
        <is>
          <t>Ready to Deploy (deployed)</t>
        </is>
      </c>
    </row>
    <row r="76">
      <c r="A76" s="1" t="n">
        <v>465</v>
      </c>
      <c r="B76" s="1" t="inlineStr">
        <is>
          <t>DESKTOP-FCTR0GU</t>
        </is>
      </c>
      <c r="C76" s="1" t="inlineStr">
        <is>
          <t>JKS-IT-2512-324</t>
        </is>
      </c>
      <c r="D76" s="1" t="inlineStr">
        <is>
          <t>Latitude 5520</t>
        </is>
      </c>
      <c r="F76" s="1" t="inlineStr">
        <is>
          <t>Dell</t>
        </is>
      </c>
      <c r="G76" s="1" t="inlineStr">
        <is>
          <t>Kok Keng Yeu</t>
        </is>
      </c>
      <c r="H76" s="1" t="inlineStr">
        <is>
          <t>user</t>
        </is>
      </c>
      <c r="I76" s="1" t="inlineStr">
        <is>
          <t>kengyeu.kok</t>
        </is>
      </c>
      <c r="J76" t="inlineStr">
        <is>
          <t>Techno-Commercial</t>
        </is>
      </c>
      <c r="K76" s="1" t="inlineStr">
        <is>
          <t>Ready to Deploy (deployed)</t>
        </is>
      </c>
    </row>
    <row r="77">
      <c r="A77" s="1" t="n">
        <v>152</v>
      </c>
      <c r="B77" t="inlineStr">
        <is>
          <t>Laptop Latitude</t>
        </is>
      </c>
      <c r="C77" t="inlineStr">
        <is>
          <t>DESKTOP-91947</t>
        </is>
      </c>
      <c r="D77" t="inlineStr">
        <is>
          <t>E5470</t>
        </is>
      </c>
      <c r="E77" t="inlineStr">
        <is>
          <t>E5470</t>
        </is>
      </c>
      <c r="F77" s="1" t="inlineStr">
        <is>
          <t>Dell</t>
        </is>
      </c>
      <c r="G77" t="inlineStr">
        <is>
          <t>Ong Cheng Seang</t>
        </is>
      </c>
      <c r="H77" s="1" t="inlineStr">
        <is>
          <t>user</t>
        </is>
      </c>
      <c r="I77" t="inlineStr">
        <is>
          <t>chengseang.ong</t>
        </is>
      </c>
      <c r="J77" t="inlineStr">
        <is>
          <t>Techno-Commercial</t>
        </is>
      </c>
      <c r="K77" t="inlineStr">
        <is>
          <t>Leasing Unit (deployed)</t>
        </is>
      </c>
    </row>
    <row r="78">
      <c r="A78" s="1" t="n">
        <v>31</v>
      </c>
      <c r="B78" t="inlineStr">
        <is>
          <t>Laptop Thinkpad</t>
        </is>
      </c>
      <c r="C78" t="inlineStr">
        <is>
          <t>DESKTOP-B0209</t>
        </is>
      </c>
      <c r="D78" t="inlineStr">
        <is>
          <t>T14</t>
        </is>
      </c>
      <c r="E78" t="inlineStr">
        <is>
          <t>T14</t>
        </is>
      </c>
      <c r="F78" s="1" t="inlineStr">
        <is>
          <t>Lenovo</t>
        </is>
      </c>
      <c r="G78" t="inlineStr">
        <is>
          <t>Syukri Hayattudin</t>
        </is>
      </c>
      <c r="H78" s="1" t="inlineStr">
        <is>
          <t>user</t>
        </is>
      </c>
      <c r="I78" t="inlineStr">
        <is>
          <t>syukri.hayattudin</t>
        </is>
      </c>
      <c r="J78" t="inlineStr">
        <is>
          <t>Techno-Commercial</t>
        </is>
      </c>
      <c r="K78" t="inlineStr">
        <is>
          <t>Leasing Unit (deployed)</t>
        </is>
      </c>
    </row>
    <row r="79">
      <c r="A79" s="1" t="n">
        <v>44</v>
      </c>
      <c r="B79" t="inlineStr">
        <is>
          <t>Laptop Thinkpad</t>
        </is>
      </c>
      <c r="C79" t="inlineStr">
        <is>
          <t>DESKTOP-B0217</t>
        </is>
      </c>
      <c r="D79" t="inlineStr">
        <is>
          <t>T14</t>
        </is>
      </c>
      <c r="E79" t="inlineStr">
        <is>
          <t>T14</t>
        </is>
      </c>
      <c r="F79" s="1" t="inlineStr">
        <is>
          <t>Lenovo</t>
        </is>
      </c>
      <c r="G79" t="inlineStr">
        <is>
          <t>Lim Jun Yoong</t>
        </is>
      </c>
      <c r="H79" s="1" t="inlineStr">
        <is>
          <t>user</t>
        </is>
      </c>
      <c r="I79" t="inlineStr">
        <is>
          <t>junyoong.lim</t>
        </is>
      </c>
      <c r="J79" t="inlineStr">
        <is>
          <t>Techno-Commercial</t>
        </is>
      </c>
      <c r="K79" t="inlineStr">
        <is>
          <t>Leasing Unit (deployed)</t>
        </is>
      </c>
    </row>
    <row r="80">
      <c r="A80" s="1" t="n">
        <v>77</v>
      </c>
      <c r="B80" t="inlineStr">
        <is>
          <t>Laptop Thinkpad</t>
        </is>
      </c>
      <c r="C80" t="inlineStr">
        <is>
          <t>JKS-IT-2508-316</t>
        </is>
      </c>
      <c r="D80" t="inlineStr">
        <is>
          <t>T14</t>
        </is>
      </c>
      <c r="E80" t="inlineStr">
        <is>
          <t>T14</t>
        </is>
      </c>
      <c r="F80" s="1" t="inlineStr">
        <is>
          <t>Lenovo</t>
        </is>
      </c>
      <c r="G80" t="inlineStr">
        <is>
          <t>Tan Sien Siang</t>
        </is>
      </c>
      <c r="H80" s="1" t="inlineStr">
        <is>
          <t>user</t>
        </is>
      </c>
      <c r="I80" t="inlineStr">
        <is>
          <t>siensiang.tan</t>
        </is>
      </c>
      <c r="J80" t="inlineStr">
        <is>
          <t>Techno-Commercial</t>
        </is>
      </c>
      <c r="K80" t="inlineStr">
        <is>
          <t>Leasing Unit (deployed)</t>
        </is>
      </c>
    </row>
    <row r="81">
      <c r="A81" s="1" t="n">
        <v>106</v>
      </c>
      <c r="B81" s="1" t="inlineStr">
        <is>
          <t>Laptop Thinkpad</t>
        </is>
      </c>
      <c r="C81" s="1" t="inlineStr">
        <is>
          <t>LAP2112W60005</t>
        </is>
      </c>
      <c r="D81" s="1" t="inlineStr">
        <is>
          <t>P14s</t>
        </is>
      </c>
      <c r="E81" s="1" t="inlineStr">
        <is>
          <t>P14s</t>
        </is>
      </c>
      <c r="F81" s="1" t="inlineStr">
        <is>
          <t>Lenovo</t>
        </is>
      </c>
      <c r="G81" s="1" t="inlineStr">
        <is>
          <t>Morsal Mustaffa</t>
        </is>
      </c>
      <c r="H81" s="1" t="inlineStr">
        <is>
          <t>user</t>
        </is>
      </c>
      <c r="I81" s="1" t="inlineStr">
        <is>
          <t>amm</t>
        </is>
      </c>
      <c r="J81" s="1" t="inlineStr">
        <is>
          <t>Technology</t>
        </is>
      </c>
      <c r="K81" s="1" t="inlineStr">
        <is>
          <t>Ready to Deploy (deployed)</t>
        </is>
      </c>
    </row>
    <row r="82">
      <c r="A82" s="1" t="n">
        <v>107</v>
      </c>
      <c r="B82" s="1" t="inlineStr">
        <is>
          <t>Laptop Thinkpad</t>
        </is>
      </c>
      <c r="C82" s="1" t="inlineStr">
        <is>
          <t>LAP2112W60006</t>
        </is>
      </c>
      <c r="D82" s="1" t="inlineStr">
        <is>
          <t>P14s</t>
        </is>
      </c>
      <c r="E82" s="1" t="inlineStr">
        <is>
          <t>P14s</t>
        </is>
      </c>
      <c r="F82" s="1" t="inlineStr">
        <is>
          <t>Lenovo</t>
        </is>
      </c>
      <c r="G82" s="1" t="inlineStr">
        <is>
          <t>Saharom Anis</t>
        </is>
      </c>
      <c r="H82" s="1" t="inlineStr">
        <is>
          <t>user</t>
        </is>
      </c>
      <c r="I82" s="1" t="inlineStr">
        <is>
          <t>saharom.anis</t>
        </is>
      </c>
      <c r="J82" s="1" t="inlineStr">
        <is>
          <t>Technology</t>
        </is>
      </c>
      <c r="K82" s="1" t="inlineStr">
        <is>
          <t>Ready to Deploy (deployed)</t>
        </is>
      </c>
    </row>
    <row r="83">
      <c r="A83" s="1" t="n">
        <v>16</v>
      </c>
      <c r="B83" s="1" t="inlineStr">
        <is>
          <t>Laptop Inspiron</t>
        </is>
      </c>
      <c r="C83" s="1" t="inlineStr">
        <is>
          <t>LAP1904W15001</t>
        </is>
      </c>
      <c r="D83" s="1" t="n">
        <v>5570</v>
      </c>
      <c r="E83" s="1" t="inlineStr">
        <is>
          <t>P75F</t>
        </is>
      </c>
      <c r="F83" s="1" t="inlineStr">
        <is>
          <t>Dell</t>
        </is>
      </c>
      <c r="G83" s="1" t="inlineStr">
        <is>
          <t>Eugene Leong Kah Fai</t>
        </is>
      </c>
      <c r="H83" s="1" t="inlineStr">
        <is>
          <t>user</t>
        </is>
      </c>
      <c r="I83" s="1" t="inlineStr">
        <is>
          <t>kahfai.leong</t>
        </is>
      </c>
      <c r="J83" s="1" t="inlineStr">
        <is>
          <t>Technology</t>
        </is>
      </c>
      <c r="K83" s="1" t="inlineStr">
        <is>
          <t>Ready to Deploy (deployed)</t>
        </is>
      </c>
    </row>
    <row r="84">
      <c r="A84" s="1" t="n">
        <v>99</v>
      </c>
      <c r="B84" s="1" t="inlineStr">
        <is>
          <t>Laptop Thinkpad</t>
        </is>
      </c>
      <c r="C84" s="1" t="inlineStr">
        <is>
          <t>LAP2112W60008</t>
        </is>
      </c>
      <c r="D84" s="1" t="inlineStr">
        <is>
          <t>P14s</t>
        </is>
      </c>
      <c r="E84" s="1" t="inlineStr">
        <is>
          <t>P14s</t>
        </is>
      </c>
      <c r="F84" s="1" t="inlineStr">
        <is>
          <t>Lenovo</t>
        </is>
      </c>
      <c r="G84" s="1" t="inlineStr">
        <is>
          <t>Lee Khai Hoe</t>
        </is>
      </c>
      <c r="H84" s="1" t="inlineStr">
        <is>
          <t>user</t>
        </is>
      </c>
      <c r="I84" s="1" t="inlineStr">
        <is>
          <t>khaihoe.lee</t>
        </is>
      </c>
      <c r="J84" s="1" t="inlineStr">
        <is>
          <t>Technology</t>
        </is>
      </c>
      <c r="K84" s="1" t="inlineStr">
        <is>
          <t>Ready to Deploy (deployed)</t>
        </is>
      </c>
    </row>
    <row r="85">
      <c r="A85" s="1" t="n">
        <v>9</v>
      </c>
      <c r="B85" s="1" t="inlineStr">
        <is>
          <t>Laptop Latitude</t>
        </is>
      </c>
      <c r="C85" s="1" t="inlineStr">
        <is>
          <t>LAP2110W60001</t>
        </is>
      </c>
      <c r="D85" s="1" t="n">
        <v>3420</v>
      </c>
      <c r="E85" s="1" t="n">
        <v>3420</v>
      </c>
      <c r="F85" s="1" t="inlineStr">
        <is>
          <t>Dell</t>
        </is>
      </c>
      <c r="G85" s="1" t="inlineStr">
        <is>
          <t>Tara Rhhutrashiny Berasamy</t>
        </is>
      </c>
      <c r="H85" s="1" t="inlineStr">
        <is>
          <t>user</t>
        </is>
      </c>
      <c r="I85" s="1" t="inlineStr">
        <is>
          <t>rhhutrashiny.berasamy</t>
        </is>
      </c>
      <c r="J85" s="1" t="inlineStr">
        <is>
          <t>Technology</t>
        </is>
      </c>
      <c r="K85" s="1" t="inlineStr">
        <is>
          <t>Ready to Deploy (deployed)</t>
        </is>
      </c>
    </row>
    <row r="86">
      <c r="A86" s="1" t="n">
        <v>120</v>
      </c>
      <c r="B86" s="1" t="inlineStr">
        <is>
          <t>Laptop ThinkBook</t>
        </is>
      </c>
      <c r="C86" s="1" t="inlineStr">
        <is>
          <t>LAPTOP-U64859LA</t>
        </is>
      </c>
      <c r="D86" s="1" t="inlineStr">
        <is>
          <t>16P Gen 2 ACH</t>
        </is>
      </c>
      <c r="E86" s="1" t="inlineStr">
        <is>
          <t>16P Gen 2 ACH</t>
        </is>
      </c>
      <c r="F86" s="1" t="inlineStr">
        <is>
          <t>Lenovo</t>
        </is>
      </c>
      <c r="G86" s="1" t="inlineStr">
        <is>
          <t>Yogeswaran Mohan</t>
        </is>
      </c>
      <c r="H86" s="1" t="inlineStr">
        <is>
          <t>user</t>
        </is>
      </c>
      <c r="I86" s="1" t="inlineStr">
        <is>
          <t>yog</t>
        </is>
      </c>
      <c r="J86" s="1" t="inlineStr">
        <is>
          <t>Technology</t>
        </is>
      </c>
      <c r="K86" s="1" t="inlineStr">
        <is>
          <t>Ready to Deploy (deployed)</t>
        </is>
      </c>
    </row>
    <row r="87">
      <c r="A87" s="1" t="n">
        <v>398</v>
      </c>
      <c r="B87" s="1" t="inlineStr">
        <is>
          <t>Laptop Latitude</t>
        </is>
      </c>
      <c r="C87" s="1" t="inlineStr">
        <is>
          <t>JKS-IT-2311-257</t>
        </is>
      </c>
      <c r="D87" s="1" t="n">
        <v>5400</v>
      </c>
      <c r="E87" s="1" t="n">
        <v>5400</v>
      </c>
      <c r="F87" s="1" t="inlineStr">
        <is>
          <t>Dell</t>
        </is>
      </c>
      <c r="G87" s="1" t="inlineStr">
        <is>
          <t>Phua Yue Xin</t>
        </is>
      </c>
      <c r="H87" s="1" t="inlineStr">
        <is>
          <t>user</t>
        </is>
      </c>
      <c r="I87" s="1" t="inlineStr">
        <is>
          <t>yuexin.phua</t>
        </is>
      </c>
      <c r="J87" s="1" t="inlineStr">
        <is>
          <t>Technology</t>
        </is>
      </c>
      <c r="K87" s="1" t="inlineStr">
        <is>
          <t>Ready to Deploy (deployed)</t>
        </is>
      </c>
    </row>
    <row r="88">
      <c r="A88" s="1" t="n">
        <v>125</v>
      </c>
      <c r="B88" s="1" t="inlineStr">
        <is>
          <t>DESKTOP-R2HTSB1</t>
        </is>
      </c>
      <c r="C88" s="1" t="inlineStr">
        <is>
          <t>JKS-IT-2602-328</t>
        </is>
      </c>
      <c r="D88" s="1" t="inlineStr">
        <is>
          <t>Latitude 7320</t>
        </is>
      </c>
      <c r="F88" s="1" t="inlineStr">
        <is>
          <t>Dell</t>
        </is>
      </c>
      <c r="G88" s="1" t="inlineStr">
        <is>
          <t>Ng Kheng Teik</t>
        </is>
      </c>
      <c r="H88" s="1" t="inlineStr">
        <is>
          <t>user</t>
        </is>
      </c>
      <c r="I88" s="1" t="inlineStr">
        <is>
          <t>khengteik.ng</t>
        </is>
      </c>
      <c r="J88" s="1" t="inlineStr">
        <is>
          <t>After Sales</t>
        </is>
      </c>
      <c r="K88" s="1" t="inlineStr">
        <is>
          <t>Ready to Deploy (deployed)</t>
        </is>
      </c>
    </row>
    <row r="89">
      <c r="A89" s="1" t="n">
        <v>127</v>
      </c>
    </row>
    <row r="90">
      <c r="A90" s="1" t="n">
        <v>128</v>
      </c>
    </row>
    <row r="91">
      <c r="A91" s="1" t="n">
        <v>168</v>
      </c>
    </row>
    <row r="92">
      <c r="A92" s="1" t="n">
        <v>171</v>
      </c>
    </row>
    <row r="93">
      <c r="A93" s="1" t="n">
        <v>181</v>
      </c>
    </row>
    <row r="94">
      <c r="A94" s="1" t="n">
        <v>396</v>
      </c>
    </row>
    <row r="95">
      <c r="A95" s="1" t="n">
        <v>413</v>
      </c>
    </row>
    <row r="96">
      <c r="A96" s="1" t="n">
        <v>471</v>
      </c>
    </row>
  </sheetData>
  <autoFilter ref="A1:K114">
    <sortState ref="A2:K114">
      <sortCondition ref="J1:J11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1" workbookViewId="0">
      <selection activeCell="A1" sqref="A1"/>
    </sheetView>
  </sheetViews>
  <sheetFormatPr baseColWidth="8" defaultRowHeight="15"/>
  <cols>
    <col width="8" customWidth="1" style="63" min="1" max="1"/>
    <col width="22.3" customWidth="1" style="63" min="2" max="2"/>
    <col width="20" customWidth="1" style="63" min="3" max="3"/>
    <col width="14" customWidth="1" style="63" min="4" max="4"/>
    <col width="16" customWidth="1" style="63" min="5" max="5"/>
    <col width="6.5" customWidth="1" style="63" min="6" max="6"/>
    <col width="8.5" customWidth="1" style="63" min="7" max="7"/>
    <col width="6" customWidth="1" style="63" min="8" max="8"/>
    <col width="28" customWidth="1" style="63" min="9" max="9"/>
    <col width="2.5" customWidth="1" style="63" min="10" max="10"/>
    <col width="8" customWidth="1" style="63" min="11" max="11"/>
    <col width="8" customWidth="1" style="63" min="12" max="12"/>
    <col width="8" customWidth="1" style="63" min="13" max="13"/>
    <col width="34" customWidth="1" style="63" min="14" max="14"/>
  </cols>
  <sheetData>
    <row r="1">
      <c r="A1" s="93" t="inlineStr">
        <is>
          <t>PC Specification Category</t>
        </is>
      </c>
      <c r="B1" s="94" t="inlineStr">
        <is>
          <t>Package Budget Estimation (RM)</t>
        </is>
      </c>
      <c r="C1" s="95" t="n"/>
      <c r="D1" s="95" t="n"/>
      <c r="E1" s="93" t="inlineStr">
        <is>
          <t>Package Included</t>
        </is>
      </c>
    </row>
    <row r="2">
      <c r="A2" s="95" t="n"/>
      <c r="B2" s="96" t="inlineStr">
        <is>
          <t>Package total</t>
        </is>
      </c>
      <c r="C2" s="96" t="inlineStr">
        <is>
          <t>Laptop / Desktop</t>
        </is>
      </c>
      <c r="D2" s="96" t="inlineStr">
        <is>
          <t>Others</t>
        </is>
      </c>
      <c r="E2" s="97" t="inlineStr">
        <is>
          <t>1. Laptop / Desktop</t>
        </is>
      </c>
    </row>
    <row r="3">
      <c r="A3" s="97" t="inlineStr">
        <is>
          <t>HOD</t>
        </is>
      </c>
      <c r="B3" s="98">
        <f>C3+D3</f>
        <v/>
      </c>
      <c r="C3" s="99" t="n">
        <v>6500</v>
      </c>
      <c r="D3" s="99" t="n">
        <v>1500</v>
      </c>
      <c r="E3" s="97" t="inlineStr">
        <is>
          <t>2. Monitor</t>
        </is>
      </c>
    </row>
    <row r="4">
      <c r="A4" s="97" t="inlineStr">
        <is>
          <t xml:space="preserve">Managerial </t>
        </is>
      </c>
      <c r="B4" s="98">
        <f>C4+D4</f>
        <v/>
      </c>
      <c r="C4" s="99" t="n">
        <v>4500</v>
      </c>
      <c r="D4" s="99" t="n">
        <v>1500</v>
      </c>
      <c r="E4" s="97" t="inlineStr">
        <is>
          <t>3. Keyboard / Mouse</t>
        </is>
      </c>
    </row>
    <row r="5">
      <c r="A5" s="97" t="inlineStr">
        <is>
          <t>Designer</t>
        </is>
      </c>
      <c r="B5" s="98">
        <f>C5+D5</f>
        <v/>
      </c>
      <c r="C5" s="99" t="n">
        <v>6000</v>
      </c>
      <c r="D5" s="99" t="n">
        <v>1500</v>
      </c>
      <c r="E5" s="97" t="inlineStr">
        <is>
          <t>4. Antivirus</t>
        </is>
      </c>
    </row>
    <row r="6">
      <c r="A6" s="97" t="inlineStr">
        <is>
          <t>Software</t>
        </is>
      </c>
      <c r="B6" s="98">
        <f>C6+D6</f>
        <v/>
      </c>
      <c r="C6" s="99" t="n">
        <v>4500</v>
      </c>
      <c r="D6" s="99" t="n">
        <v>1500</v>
      </c>
      <c r="E6" s="97" t="inlineStr">
        <is>
          <t>5. Microsoft Office License</t>
        </is>
      </c>
    </row>
    <row r="7">
      <c r="A7" s="97" t="inlineStr">
        <is>
          <t>Standard</t>
        </is>
      </c>
      <c r="B7" s="98">
        <f>C7+D7</f>
        <v/>
      </c>
      <c r="C7" s="99" t="n">
        <v>3000</v>
      </c>
      <c r="D7" s="99" t="n">
        <v>1500</v>
      </c>
      <c r="E7" s="95" t="n"/>
    </row>
    <row r="8">
      <c r="F8" s="72" t="inlineStr">
        <is>
          <t>2019/2022 Baseline</t>
        </is>
      </c>
      <c r="K8" s="72" t="inlineStr">
        <is>
          <t>2026 Current Fleet Status</t>
        </is>
      </c>
    </row>
    <row r="9" ht="24" customHeight="1" s="63">
      <c r="E9" s="100" t="inlineStr">
        <is>
          <t>Updated Date</t>
        </is>
      </c>
      <c r="F9" s="101" t="n">
        <v>44865</v>
      </c>
      <c r="K9" s="101" t="n">
        <v>46287</v>
      </c>
    </row>
    <row r="10">
      <c r="A10" s="72" t="inlineStr">
        <is>
          <t>Exceed</t>
        </is>
      </c>
    </row>
    <row r="11" ht="24" customHeight="1" s="63">
      <c r="B11" s="102" t="inlineStr">
        <is>
          <t>Department</t>
        </is>
      </c>
      <c r="C11" s="102" t="inlineStr">
        <is>
          <t>Section</t>
        </is>
      </c>
      <c r="D11" s="102" t="inlineStr">
        <is>
          <t>Position</t>
        </is>
      </c>
      <c r="E11" s="102" t="inlineStr">
        <is>
          <t>PC Spec Cat.</t>
        </is>
      </c>
      <c r="F11" s="103" t="inlineStr">
        <is>
          <t>Total</t>
        </is>
      </c>
      <c r="G11" s="103" t="inlineStr">
        <is>
          <t>Released</t>
        </is>
      </c>
      <c r="H11" s="103" t="inlineStr">
        <is>
          <t>Bal.</t>
        </is>
      </c>
      <c r="I11" s="103" t="inlineStr">
        <is>
          <t>Remark</t>
        </is>
      </c>
      <c r="K11" s="103" t="inlineStr">
        <is>
          <t>2026 Total</t>
        </is>
      </c>
      <c r="L11" s="103" t="inlineStr">
        <is>
          <t>Owned</t>
        </is>
      </c>
      <c r="M11" s="103" t="inlineStr">
        <is>
          <t>Leased</t>
        </is>
      </c>
      <c r="N11" s="103" t="inlineStr">
        <is>
          <t>2026 Active Personnel &amp; Allocation Remarks</t>
        </is>
      </c>
    </row>
    <row r="12" ht="22" customHeight="1" s="63">
      <c r="A12" s="72" t="n">
        <v>-1</v>
      </c>
      <c r="B12" s="104" t="inlineStr">
        <is>
          <t>Manufacturing</t>
        </is>
      </c>
      <c r="C12" s="105" t="inlineStr">
        <is>
          <t>Management</t>
        </is>
      </c>
      <c r="D12" s="97" t="inlineStr">
        <is>
          <t>HOD / GM</t>
        </is>
      </c>
      <c r="E12" s="97" t="inlineStr">
        <is>
          <t>HOD</t>
        </is>
      </c>
      <c r="F12" s="96" t="n">
        <v>1</v>
      </c>
      <c r="G12" s="106" t="n">
        <v>1</v>
      </c>
      <c r="H12" s="106">
        <f>F12-G12</f>
        <v/>
      </c>
      <c r="I12" s="107" t="inlineStr">
        <is>
          <t>Director / GM slot</t>
        </is>
      </c>
      <c r="K12" s="96" t="n">
        <v>2</v>
      </c>
      <c r="L12" s="106" t="n">
        <v>2</v>
      </c>
      <c r="M12" s="106" t="n">
        <v>0</v>
      </c>
      <c r="N12" s="107" t="inlineStr">
        <is>
          <t>Liew Kwok Jee (UX582L), Lim Kok Teong (M5)</t>
        </is>
      </c>
    </row>
    <row r="13" ht="22" customHeight="1" s="63">
      <c r="A13" s="72" t="n">
        <v>0</v>
      </c>
      <c r="B13" s="108" t="n"/>
      <c r="C13" s="105" t="inlineStr">
        <is>
          <t>Mechanical Design</t>
        </is>
      </c>
      <c r="D13" s="109" t="inlineStr">
        <is>
          <t>Manager</t>
        </is>
      </c>
      <c r="E13" s="109" t="inlineStr">
        <is>
          <t>Designer</t>
        </is>
      </c>
      <c r="F13" s="110" t="n">
        <v>1</v>
      </c>
      <c r="G13" s="111" t="n">
        <v>1</v>
      </c>
      <c r="H13" s="111">
        <f>F13-G13</f>
        <v/>
      </c>
      <c r="I13" s="112" t="inlineStr"/>
      <c r="K13" s="110" t="n">
        <v>1</v>
      </c>
      <c r="L13" s="111" t="n">
        <v>1</v>
      </c>
      <c r="M13" s="111" t="n">
        <v>0</v>
      </c>
      <c r="N13" s="112" t="inlineStr">
        <is>
          <t>Hong Soon Eng (Latitude 5520)</t>
        </is>
      </c>
    </row>
    <row r="14" ht="22" customHeight="1" s="63">
      <c r="B14" s="108" t="n"/>
      <c r="C14" s="113" t="n"/>
      <c r="D14" s="109" t="inlineStr">
        <is>
          <t>Engineer</t>
        </is>
      </c>
      <c r="E14" s="109" t="inlineStr">
        <is>
          <t>Designer</t>
        </is>
      </c>
      <c r="F14" s="110" t="n">
        <v>6</v>
      </c>
      <c r="G14" s="111" t="n">
        <v>4</v>
      </c>
      <c r="H14" s="111">
        <f>F14-G14</f>
        <v/>
      </c>
      <c r="I14" s="112" t="inlineStr">
        <is>
          <t>2 Existing Vacancy in 2022</t>
        </is>
      </c>
      <c r="K14" s="110" t="n">
        <v>6</v>
      </c>
      <c r="L14" s="111" t="n">
        <v>6</v>
      </c>
      <c r="M14" s="111" t="n">
        <v>0</v>
      </c>
      <c r="N14" s="112" t="inlineStr">
        <is>
          <t>6 Designers: Aiman Azmel, Akhmal, Haidir, Izzah, Chong JY, Zaki</t>
        </is>
      </c>
    </row>
    <row r="15" ht="22" customHeight="1" s="63">
      <c r="A15" s="72" t="n">
        <v>1</v>
      </c>
      <c r="B15" s="108" t="n"/>
      <c r="C15" s="105" t="inlineStr">
        <is>
          <t>Automation</t>
        </is>
      </c>
      <c r="D15" s="109" t="inlineStr">
        <is>
          <t>Engineer</t>
        </is>
      </c>
      <c r="E15" s="109" t="inlineStr">
        <is>
          <t>Software</t>
        </is>
      </c>
      <c r="F15" s="110" t="n">
        <v>9</v>
      </c>
      <c r="G15" s="111" t="n">
        <v>9</v>
      </c>
      <c r="H15" s="111">
        <f>F15-G15</f>
        <v/>
      </c>
      <c r="I15" s="112" t="inlineStr">
        <is>
          <t>Software &amp; Electrical Design combined</t>
        </is>
      </c>
      <c r="K15" s="110" t="n">
        <v>8</v>
      </c>
      <c r="L15" s="111" t="n">
        <v>7</v>
      </c>
      <c r="M15" s="111" t="n">
        <v>1</v>
      </c>
      <c r="N15" s="112" t="inlineStr">
        <is>
          <t>8 Units: Abdullah, Hanis, Ho Kar Wye (x2), Hazman, Joel, Shafiq + Chin Jing Sian (Leased T14). Combines Software (6) &amp; Electrical Design (3) Quota.</t>
        </is>
      </c>
    </row>
    <row r="16" ht="22" customHeight="1" s="63">
      <c r="A16" s="72" t="n">
        <v>0</v>
      </c>
      <c r="B16" s="108" t="n"/>
      <c r="C16" s="105" t="inlineStr">
        <is>
          <t>Operation</t>
        </is>
      </c>
      <c r="D16" s="109" t="inlineStr">
        <is>
          <t>Engineer</t>
        </is>
      </c>
      <c r="E16" s="109" t="inlineStr">
        <is>
          <t>Standard</t>
        </is>
      </c>
      <c r="F16" s="110" t="n">
        <v>2</v>
      </c>
      <c r="G16" s="111" t="n">
        <v>2</v>
      </c>
      <c r="H16" s="111">
        <f>F16-G16</f>
        <v/>
      </c>
      <c r="I16" s="112" t="inlineStr">
        <is>
          <t>Operation Control</t>
        </is>
      </c>
      <c r="K16" s="110" t="n">
        <v>2</v>
      </c>
      <c r="L16" s="111" t="n">
        <v>2</v>
      </c>
      <c r="M16" s="111" t="n">
        <v>0</v>
      </c>
      <c r="N16" s="112" t="inlineStr">
        <is>
          <t>Ng Wan Teng (MacBook 13), Ashiqin Shahrunizam (L15)</t>
        </is>
      </c>
    </row>
    <row r="17" ht="22" customHeight="1" s="63">
      <c r="A17" s="72" t="n">
        <v>1</v>
      </c>
      <c r="B17" s="108" t="n"/>
      <c r="C17" s="105" t="inlineStr">
        <is>
          <t>Facilities &amp; Maintenance</t>
        </is>
      </c>
      <c r="D17" s="109" t="inlineStr">
        <is>
          <t>Engineer</t>
        </is>
      </c>
      <c r="E17" s="109" t="inlineStr">
        <is>
          <t>Standard</t>
        </is>
      </c>
      <c r="F17" s="110" t="n">
        <v>1</v>
      </c>
      <c r="G17" s="111" t="n">
        <v>1</v>
      </c>
      <c r="H17" s="111">
        <f>F17-G17</f>
        <v/>
      </c>
      <c r="I17" s="112" t="inlineStr">
        <is>
          <t>Facilities &amp; Maintenance slot</t>
        </is>
      </c>
      <c r="K17" s="110" t="n">
        <v>0</v>
      </c>
      <c r="L17" s="111" t="n">
        <v>0</v>
      </c>
      <c r="M17" s="111" t="n">
        <v>0</v>
      </c>
      <c r="N17" s="112" t="inlineStr">
        <is>
          <t>-</t>
        </is>
      </c>
    </row>
    <row r="18" ht="22" customHeight="1" s="63">
      <c r="A18" s="72" t="n">
        <v>-3</v>
      </c>
      <c r="B18" s="108" t="n"/>
      <c r="C18" s="105" t="inlineStr">
        <is>
          <t>Production</t>
        </is>
      </c>
      <c r="D18" s="114" t="inlineStr">
        <is>
          <t>Engineer</t>
        </is>
      </c>
      <c r="E18" s="114" t="inlineStr">
        <is>
          <t>Standard</t>
        </is>
      </c>
      <c r="F18" s="115" t="n">
        <v>1</v>
      </c>
      <c r="G18" s="116" t="n">
        <v>1</v>
      </c>
      <c r="H18" s="116">
        <f>F18-G18</f>
        <v/>
      </c>
      <c r="I18" s="117" t="inlineStr"/>
      <c r="K18" s="115" t="n">
        <v>1</v>
      </c>
      <c r="L18" s="116" t="n">
        <v>1</v>
      </c>
      <c r="M18" s="116" t="n">
        <v>0</v>
      </c>
      <c r="N18" s="117" t="inlineStr">
        <is>
          <t>Lee Sing Lee (2019 16" MacBook Pro)</t>
        </is>
      </c>
    </row>
    <row r="19" ht="22" customHeight="1" s="63">
      <c r="B19" s="108" t="n"/>
      <c r="C19" s="113" t="n"/>
      <c r="D19" s="114" t="inlineStr">
        <is>
          <t>Supervisor</t>
        </is>
      </c>
      <c r="E19" s="114" t="inlineStr">
        <is>
          <t>Standard</t>
        </is>
      </c>
      <c r="F19" s="115" t="n">
        <v>11</v>
      </c>
      <c r="G19" s="116" t="n">
        <v>11</v>
      </c>
      <c r="H19" s="116">
        <f>F19-G19</f>
        <v/>
      </c>
      <c r="I19" s="117" t="inlineStr">
        <is>
          <t>Electrical Prod sits inside 11 Quota</t>
        </is>
      </c>
      <c r="K19" s="115" t="n">
        <v>12</v>
      </c>
      <c r="L19" s="116" t="n">
        <v>9</v>
      </c>
      <c r="M19" s="116" t="n">
        <v>3</v>
      </c>
      <c r="N19" s="117" t="inlineStr">
        <is>
          <t>12 Techs: 7 Assembly (Bobby, Tan PS, Anizan, Azman, Fairus, Junaidi, Whaidul) + 3 Electrical (Param, Ridzuan, Bakri Leased) + 2 Leased (Azwa, NurHazwani)</t>
        </is>
      </c>
    </row>
    <row r="20" ht="22" customHeight="1" s="63">
      <c r="B20" s="108" t="n"/>
      <c r="C20" s="113" t="n"/>
      <c r="D20" s="114" t="inlineStr">
        <is>
          <t>Station</t>
        </is>
      </c>
      <c r="E20" s="114" t="inlineStr">
        <is>
          <t>Standard</t>
        </is>
      </c>
      <c r="F20" s="115" t="n">
        <v>0</v>
      </c>
      <c r="G20" s="116" t="n">
        <v>0</v>
      </c>
      <c r="H20" s="116">
        <f>F20-G20</f>
        <v/>
      </c>
      <c r="I20" s="117" t="inlineStr">
        <is>
          <t>Shopfloor stations</t>
        </is>
      </c>
      <c r="K20" s="115" t="n">
        <v>2</v>
      </c>
      <c r="L20" s="116" t="n">
        <v>2</v>
      </c>
      <c r="M20" s="116" t="n">
        <v>0</v>
      </c>
      <c r="N20" s="117" t="inlineStr">
        <is>
          <t>Assembly Laptop (DESKTOP-6PF3T7Q), Waterjet PC (DES1911W06009)</t>
        </is>
      </c>
    </row>
    <row r="21" ht="20" customHeight="1" s="63">
      <c r="B21" s="108" t="n"/>
      <c r="C21" s="118" t="inlineStr">
        <is>
          <t>Total</t>
        </is>
      </c>
      <c r="D21" s="119" t="n"/>
      <c r="E21" s="119" t="n"/>
      <c r="F21" s="120">
        <f>SUM(F12:F20)</f>
        <v/>
      </c>
      <c r="G21" s="120">
        <f>SUM(G12:G20)</f>
        <v/>
      </c>
      <c r="H21" s="120">
        <f>SUM(H12:H20)</f>
        <v/>
      </c>
      <c r="I21" s="119" t="n"/>
      <c r="K21" s="120">
        <f>SUM(K12:K20)</f>
        <v/>
      </c>
      <c r="L21" s="120">
        <f>SUM(L12:L20)</f>
        <v/>
      </c>
      <c r="M21" s="120">
        <f>SUM(M12:M20)</f>
        <v/>
      </c>
      <c r="N21" s="119" t="n"/>
    </row>
    <row r="22" ht="22" customHeight="1" s="63">
      <c r="A22" s="72" t="n">
        <v>0</v>
      </c>
      <c r="B22" s="104" t="inlineStr">
        <is>
          <t>Techno-Commercial</t>
        </is>
      </c>
      <c r="C22" s="121" t="n"/>
      <c r="D22" s="109" t="inlineStr">
        <is>
          <t>HOD / AGM</t>
        </is>
      </c>
      <c r="E22" s="109" t="inlineStr">
        <is>
          <t>HOD</t>
        </is>
      </c>
      <c r="F22" s="110" t="n">
        <v>1</v>
      </c>
      <c r="G22" s="111" t="n">
        <v>1</v>
      </c>
      <c r="H22" s="111">
        <f>F22-G22</f>
        <v/>
      </c>
      <c r="I22" s="112" t="inlineStr"/>
      <c r="K22" s="110" t="n">
        <v>1</v>
      </c>
      <c r="L22" s="111" t="n">
        <v>1</v>
      </c>
      <c r="M22" s="111" t="n">
        <v>0</v>
      </c>
      <c r="N22" s="112" t="inlineStr">
        <is>
          <t>Yeoh Chin Huat (ThinkPad P14s)</t>
        </is>
      </c>
    </row>
    <row r="23" ht="22" customHeight="1" s="63">
      <c r="B23" s="108" t="n"/>
      <c r="C23" s="121" t="n"/>
      <c r="D23" s="109" t="inlineStr">
        <is>
          <t>Manager</t>
        </is>
      </c>
      <c r="E23" s="109" t="inlineStr">
        <is>
          <t>Managerial</t>
        </is>
      </c>
      <c r="F23" s="110" t="n">
        <v>0</v>
      </c>
      <c r="G23" s="111" t="n">
        <v>0</v>
      </c>
      <c r="H23" s="111">
        <f>F23-G23</f>
        <v/>
      </c>
      <c r="I23" s="112" t="inlineStr"/>
      <c r="K23" s="110" t="n">
        <v>1</v>
      </c>
      <c r="L23" s="111" t="n">
        <v>0</v>
      </c>
      <c r="M23" s="111" t="n">
        <v>1</v>
      </c>
      <c r="N23" s="112" t="inlineStr">
        <is>
          <t>Tan Sien Siang (Leased ThinkPad T14)</t>
        </is>
      </c>
    </row>
    <row r="24" ht="22" customHeight="1" s="63">
      <c r="B24" s="108" t="n"/>
      <c r="C24" s="121" t="n"/>
      <c r="D24" s="109" t="inlineStr">
        <is>
          <t>Engineer</t>
        </is>
      </c>
      <c r="E24" s="109" t="inlineStr">
        <is>
          <t>Standard</t>
        </is>
      </c>
      <c r="F24" s="110" t="n">
        <v>5</v>
      </c>
      <c r="G24" s="111" t="n">
        <v>4</v>
      </c>
      <c r="H24" s="111">
        <f>F24-G24</f>
        <v/>
      </c>
      <c r="I24" s="112" t="inlineStr">
        <is>
          <t>1 Existing Vacancy in 2022</t>
        </is>
      </c>
      <c r="K24" s="110" t="n">
        <v>4</v>
      </c>
      <c r="L24" s="111" t="n">
        <v>1</v>
      </c>
      <c r="M24" s="111" t="n">
        <v>3</v>
      </c>
      <c r="N24" s="112" t="inlineStr">
        <is>
          <t>Kok Keng Yeu (Latitude 5520) + 3 Leased (Ong CS, Syukri, Lim JY)</t>
        </is>
      </c>
    </row>
    <row r="25" ht="20" customHeight="1" s="63">
      <c r="B25" s="108" t="n"/>
      <c r="C25" s="118" t="inlineStr">
        <is>
          <t>Total</t>
        </is>
      </c>
      <c r="D25" s="119" t="n"/>
      <c r="E25" s="119" t="n"/>
      <c r="F25" s="120">
        <f>SUM(F22:F24)</f>
        <v/>
      </c>
      <c r="G25" s="120">
        <f>SUM(G22:G24)</f>
        <v/>
      </c>
      <c r="H25" s="120">
        <f>SUM(H22:H24)</f>
        <v/>
      </c>
      <c r="I25" s="119" t="n"/>
      <c r="K25" s="120">
        <f>SUM(K22:K24)</f>
        <v/>
      </c>
      <c r="L25" s="120">
        <f>SUM(L22:L24)</f>
        <v/>
      </c>
      <c r="M25" s="120">
        <f>SUM(M22:M24)</f>
        <v/>
      </c>
      <c r="N25" s="119" t="n"/>
    </row>
    <row r="26" ht="22" customHeight="1" s="63">
      <c r="A26" s="72" t="n">
        <v>-1</v>
      </c>
      <c r="B26" s="104" t="inlineStr">
        <is>
          <t>Technology</t>
        </is>
      </c>
      <c r="C26" s="105" t="inlineStr">
        <is>
          <t>RND</t>
        </is>
      </c>
      <c r="D26" s="114" t="inlineStr">
        <is>
          <t>HOD</t>
        </is>
      </c>
      <c r="E26" s="114" t="inlineStr">
        <is>
          <t>HOD</t>
        </is>
      </c>
      <c r="F26" s="115" t="n">
        <v>1</v>
      </c>
      <c r="G26" s="116" t="n">
        <v>1</v>
      </c>
      <c r="H26" s="116">
        <f>F26-G26</f>
        <v/>
      </c>
      <c r="I26" s="117" t="inlineStr">
        <is>
          <t>Dr Yoges slot</t>
        </is>
      </c>
      <c r="K26" s="115" t="n">
        <v>1</v>
      </c>
      <c r="L26" s="116" t="n">
        <v>1</v>
      </c>
      <c r="M26" s="116" t="n">
        <v>0</v>
      </c>
      <c r="N26" s="117" t="inlineStr">
        <is>
          <t>Dr. Yogeswaran Mohan (ThinkBook 16P Gen 2)</t>
        </is>
      </c>
    </row>
    <row r="27" ht="22" customHeight="1" s="63">
      <c r="B27" s="108" t="n"/>
      <c r="C27" s="113" t="n"/>
      <c r="D27" s="114" t="inlineStr">
        <is>
          <t>Engineer</t>
        </is>
      </c>
      <c r="E27" s="114" t="inlineStr">
        <is>
          <t>Software</t>
        </is>
      </c>
      <c r="F27" s="115" t="n">
        <v>5</v>
      </c>
      <c r="G27" s="116" t="n">
        <v>4</v>
      </c>
      <c r="H27" s="116">
        <f>F27-G27</f>
        <v/>
      </c>
      <c r="I27" s="117" t="inlineStr">
        <is>
          <t>1 Existing Vacancy in 2022</t>
        </is>
      </c>
      <c r="K27" s="115" t="n">
        <v>6</v>
      </c>
      <c r="L27" s="116" t="n">
        <v>6</v>
      </c>
      <c r="M27" s="116" t="n">
        <v>0</v>
      </c>
      <c r="N27" s="117" t="inlineStr">
        <is>
          <t>6 R&amp;D Engineers: Morsal Mustaffa, Saharom Anis, Eugene Leong, Lee Khai Hoe, Tara, Phua Yue Xin</t>
        </is>
      </c>
    </row>
    <row r="28" ht="22" customHeight="1" s="63">
      <c r="A28" s="72" t="n">
        <v>0</v>
      </c>
      <c r="B28" s="108" t="n"/>
      <c r="C28" s="105" t="inlineStr">
        <is>
          <t>Costing</t>
        </is>
      </c>
      <c r="D28" s="109" t="inlineStr">
        <is>
          <t>Manager</t>
        </is>
      </c>
      <c r="E28" s="109" t="inlineStr">
        <is>
          <t>Managerial</t>
        </is>
      </c>
      <c r="F28" s="110" t="n">
        <v>1</v>
      </c>
      <c r="G28" s="111" t="n">
        <v>1</v>
      </c>
      <c r="H28" s="111">
        <f>F28-G28</f>
        <v/>
      </c>
      <c r="I28" s="112" t="inlineStr">
        <is>
          <t>Separated Costing section (System Design slot)</t>
        </is>
      </c>
      <c r="K28" s="110" t="n">
        <v>1</v>
      </c>
      <c r="L28" s="111" t="n">
        <v>1</v>
      </c>
      <c r="M28" s="111" t="n">
        <v>0</v>
      </c>
      <c r="N28" s="112" t="inlineStr">
        <is>
          <t>Wu Choi Mee (ThinkPad P14s)</t>
        </is>
      </c>
    </row>
    <row r="29" ht="22" customHeight="1" s="63">
      <c r="B29" s="108" t="n"/>
      <c r="C29" s="113" t="n"/>
      <c r="D29" s="109" t="inlineStr">
        <is>
          <t>Engineer</t>
        </is>
      </c>
      <c r="E29" s="109" t="inlineStr">
        <is>
          <t>Standard</t>
        </is>
      </c>
      <c r="F29" s="110" t="n">
        <v>2</v>
      </c>
      <c r="G29" s="111" t="n">
        <v>1</v>
      </c>
      <c r="H29" s="111">
        <f>F29-G29</f>
        <v/>
      </c>
      <c r="I29" s="112" t="inlineStr">
        <is>
          <t>1 Existing Vacancy in 2022</t>
        </is>
      </c>
      <c r="K29" s="110" t="n">
        <v>2</v>
      </c>
      <c r="L29" s="111" t="n">
        <v>1</v>
      </c>
      <c r="M29" s="111" t="n">
        <v>1</v>
      </c>
      <c r="N29" s="112" t="inlineStr">
        <is>
          <t>Goh Ying Ying (Dell 3593) + Sew Thee Hwa (Leased T14)</t>
        </is>
      </c>
    </row>
    <row r="30" ht="22" customHeight="1" s="63">
      <c r="A30" s="72" t="n">
        <v>5</v>
      </c>
      <c r="B30" s="108" t="n"/>
      <c r="C30" s="105" t="inlineStr">
        <is>
          <t>Tech Development</t>
        </is>
      </c>
      <c r="D30" s="109" t="inlineStr">
        <is>
          <t>Engineer</t>
        </is>
      </c>
      <c r="E30" s="109" t="inlineStr">
        <is>
          <t>Software</t>
        </is>
      </c>
      <c r="F30" s="110" t="n">
        <v>5</v>
      </c>
      <c r="G30" s="111" t="n">
        <v>5</v>
      </c>
      <c r="H30" s="111">
        <f>F30-G30</f>
        <v/>
      </c>
      <c r="I30" s="112" t="inlineStr">
        <is>
          <t>Historical Charlez team slot</t>
        </is>
      </c>
      <c r="K30" s="110" t="n">
        <v>0</v>
      </c>
      <c r="L30" s="111" t="n">
        <v>0</v>
      </c>
      <c r="M30" s="111" t="n">
        <v>0</v>
      </c>
      <c r="N30" s="112" t="inlineStr">
        <is>
          <t>Historical baseline quota (slots transferred/absorbed)</t>
        </is>
      </c>
    </row>
    <row r="31" ht="20" customHeight="1" s="63">
      <c r="B31" s="108" t="n"/>
      <c r="C31" s="118" t="inlineStr">
        <is>
          <t>Total</t>
        </is>
      </c>
      <c r="D31" s="119" t="n"/>
      <c r="E31" s="119" t="n"/>
      <c r="F31" s="120">
        <f>SUM(F26:F30)</f>
        <v/>
      </c>
      <c r="G31" s="120">
        <f>SUM(G26:G30)</f>
        <v/>
      </c>
      <c r="H31" s="120">
        <f>SUM(H26:H30)</f>
        <v/>
      </c>
      <c r="I31" s="119" t="n"/>
      <c r="K31" s="120">
        <f>SUM(K26:K30)</f>
        <v/>
      </c>
      <c r="L31" s="120">
        <f>SUM(L26:L30)</f>
        <v/>
      </c>
      <c r="M31" s="120">
        <f>SUM(M26:M30)</f>
        <v/>
      </c>
      <c r="N31" s="119" t="n"/>
    </row>
    <row r="32" ht="22" customHeight="1" s="63">
      <c r="A32" s="72" t="n">
        <v>-1</v>
      </c>
      <c r="B32" s="104" t="inlineStr">
        <is>
          <t>Business Development</t>
        </is>
      </c>
      <c r="C32" s="122" t="n"/>
      <c r="D32" s="114" t="inlineStr">
        <is>
          <t>HOD / Mgr</t>
        </is>
      </c>
      <c r="E32" s="114" t="inlineStr">
        <is>
          <t>Managerial</t>
        </is>
      </c>
      <c r="F32" s="115" t="n">
        <v>1</v>
      </c>
      <c r="G32" s="116" t="n">
        <v>1</v>
      </c>
      <c r="H32" s="116">
        <f>F32-G32</f>
        <v/>
      </c>
      <c r="I32" s="117" t="inlineStr"/>
      <c r="K32" s="115" t="n">
        <v>1</v>
      </c>
      <c r="L32" s="116" t="n">
        <v>1</v>
      </c>
      <c r="M32" s="116" t="n">
        <v>0</v>
      </c>
      <c r="N32" s="117" t="inlineStr">
        <is>
          <t>Tham Jia Qian (MacBook Air M2)</t>
        </is>
      </c>
    </row>
    <row r="33" ht="22" customHeight="1" s="63">
      <c r="B33" s="108" t="n"/>
      <c r="C33" s="122" t="n"/>
      <c r="D33" s="114" t="inlineStr">
        <is>
          <t>Executive</t>
        </is>
      </c>
      <c r="E33" s="114" t="inlineStr">
        <is>
          <t>Standard</t>
        </is>
      </c>
      <c r="F33" s="115" t="n">
        <v>2</v>
      </c>
      <c r="G33" s="116" t="n">
        <v>2</v>
      </c>
      <c r="H33" s="116">
        <f>F33-G33</f>
        <v/>
      </c>
      <c r="I33" s="117" t="inlineStr"/>
      <c r="K33" s="115" t="n">
        <v>3</v>
      </c>
      <c r="L33" s="116" t="n">
        <v>2</v>
      </c>
      <c r="M33" s="116" t="n">
        <v>1</v>
      </c>
      <c r="N33" s="117" t="inlineStr">
        <is>
          <t>Evelyn Lee (P14s), Nur Risha (Latitude 7320) + Jayden Ng (Leased T14)</t>
        </is>
      </c>
    </row>
    <row r="34" ht="20" customHeight="1" s="63">
      <c r="B34" s="108" t="n"/>
      <c r="C34" s="118" t="inlineStr">
        <is>
          <t>Total</t>
        </is>
      </c>
      <c r="D34" s="119" t="n"/>
      <c r="E34" s="119" t="n"/>
      <c r="F34" s="120">
        <f>SUM(F32:F33)</f>
        <v/>
      </c>
      <c r="G34" s="120">
        <f>SUM(G32:G33)</f>
        <v/>
      </c>
      <c r="H34" s="120">
        <f>SUM(H32:H33)</f>
        <v/>
      </c>
      <c r="I34" s="119" t="n"/>
      <c r="K34" s="120">
        <f>SUM(K32:K33)</f>
        <v/>
      </c>
      <c r="L34" s="120">
        <f>SUM(L32:L33)</f>
        <v/>
      </c>
      <c r="M34" s="120">
        <f>SUM(M32:M33)</f>
        <v/>
      </c>
      <c r="N34" s="119" t="n"/>
    </row>
    <row r="35" ht="22" customHeight="1" s="63">
      <c r="A35" s="72" t="n">
        <v>1</v>
      </c>
      <c r="B35" s="104" t="inlineStr">
        <is>
          <t>Process &amp; Lab</t>
        </is>
      </c>
      <c r="C35" s="121" t="n"/>
      <c r="D35" s="109" t="inlineStr">
        <is>
          <t>HOD</t>
        </is>
      </c>
      <c r="E35" s="109" t="inlineStr">
        <is>
          <t>HOD</t>
        </is>
      </c>
      <c r="F35" s="110" t="n">
        <v>1</v>
      </c>
      <c r="G35" s="111" t="n">
        <v>1</v>
      </c>
      <c r="H35" s="111">
        <f>F35-G35</f>
        <v/>
      </c>
      <c r="I35" s="112" t="inlineStr">
        <is>
          <t>Lab HOD (Vinotha Chandra)</t>
        </is>
      </c>
      <c r="K35" s="110" t="n">
        <v>1</v>
      </c>
      <c r="L35" s="111" t="n">
        <v>1</v>
      </c>
      <c r="M35" s="111" t="n">
        <v>0</v>
      </c>
      <c r="N35" s="112" t="inlineStr">
        <is>
          <t>Vinotha Chandra (ThinkPad L15)</t>
        </is>
      </c>
    </row>
    <row r="36" ht="22" customHeight="1" s="63">
      <c r="B36" s="108" t="n"/>
      <c r="C36" s="121" t="n"/>
      <c r="D36" s="109" t="inlineStr">
        <is>
          <t>Manager</t>
        </is>
      </c>
      <c r="E36" s="109" t="inlineStr">
        <is>
          <t>Managerial</t>
        </is>
      </c>
      <c r="F36" s="110" t="n">
        <v>1</v>
      </c>
      <c r="G36" s="111" t="n">
        <v>1</v>
      </c>
      <c r="H36" s="111">
        <f>F36-G36</f>
        <v/>
      </c>
      <c r="I36" s="112" t="inlineStr">
        <is>
          <t>Historical Manager slot</t>
        </is>
      </c>
      <c r="K36" s="110" t="n">
        <v>0</v>
      </c>
      <c r="L36" s="111" t="n">
        <v>0</v>
      </c>
      <c r="M36" s="111" t="n">
        <v>0</v>
      </c>
      <c r="N36" s="112" t="inlineStr">
        <is>
          <t>-</t>
        </is>
      </c>
    </row>
    <row r="37" ht="22" customHeight="1" s="63">
      <c r="B37" s="108" t="n"/>
      <c r="C37" s="121" t="n"/>
      <c r="D37" s="109" t="inlineStr">
        <is>
          <t>Engineer</t>
        </is>
      </c>
      <c r="E37" s="109" t="inlineStr">
        <is>
          <t>Standard</t>
        </is>
      </c>
      <c r="F37" s="110" t="n">
        <v>3</v>
      </c>
      <c r="G37" s="111" t="n">
        <v>2</v>
      </c>
      <c r="H37" s="111">
        <f>F37-G37</f>
        <v/>
      </c>
      <c r="I37" s="112" t="inlineStr">
        <is>
          <t>1 Existing Vacancy in 2022</t>
        </is>
      </c>
      <c r="K37" s="110" t="n">
        <v>3</v>
      </c>
      <c r="L37" s="111" t="n">
        <v>2</v>
      </c>
      <c r="M37" s="111" t="n">
        <v>1</v>
      </c>
      <c r="N37" s="112" t="inlineStr">
        <is>
          <t>Arijey (5400), Raja Nur Atikah (5400) + Parany Surendran (Leased E5470)</t>
        </is>
      </c>
    </row>
    <row r="38" ht="20" customHeight="1" s="63">
      <c r="B38" s="108" t="n"/>
      <c r="C38" s="118" t="inlineStr">
        <is>
          <t>Total</t>
        </is>
      </c>
      <c r="D38" s="119" t="n"/>
      <c r="E38" s="119" t="n"/>
      <c r="F38" s="120">
        <f>SUM(F35:F37)</f>
        <v/>
      </c>
      <c r="G38" s="120">
        <f>SUM(G35:G37)</f>
        <v/>
      </c>
      <c r="H38" s="120">
        <f>SUM(H35:H37)</f>
        <v/>
      </c>
      <c r="I38" s="119" t="n"/>
      <c r="K38" s="120">
        <f>SUM(K35:K37)</f>
        <v/>
      </c>
      <c r="L38" s="120">
        <f>SUM(L35:L37)</f>
        <v/>
      </c>
      <c r="M38" s="120">
        <f>SUM(M35:M37)</f>
        <v/>
      </c>
      <c r="N38" s="119" t="n"/>
    </row>
    <row r="39" ht="22" customHeight="1" s="63">
      <c r="A39" s="72" t="n">
        <v>-4</v>
      </c>
      <c r="B39" s="104" t="inlineStr">
        <is>
          <t>After Sales Service</t>
        </is>
      </c>
      <c r="C39" s="122" t="n"/>
      <c r="D39" s="114" t="inlineStr">
        <is>
          <t>Manager</t>
        </is>
      </c>
      <c r="E39" s="114" t="inlineStr">
        <is>
          <t>Managerial</t>
        </is>
      </c>
      <c r="F39" s="115" t="n">
        <v>3</v>
      </c>
      <c r="G39" s="116" t="n">
        <v>3</v>
      </c>
      <c r="H39" s="116">
        <f>F39-G39</f>
        <v/>
      </c>
      <c r="I39" s="117" t="inlineStr"/>
      <c r="K39" s="115" t="n">
        <v>4</v>
      </c>
      <c r="L39" s="116" t="n">
        <v>4</v>
      </c>
      <c r="M39" s="116" t="n">
        <v>0</v>
      </c>
      <c r="N39" s="117" t="inlineStr">
        <is>
          <t>Ooi Ee Wan (P14s), Fadzli Khalib (E7270), Alex Wee, Ng Kheng Teik (Latitude 7320)</t>
        </is>
      </c>
    </row>
    <row r="40" ht="22" customHeight="1" s="63">
      <c r="B40" s="108" t="n"/>
      <c r="C40" s="122" t="n"/>
      <c r="D40" s="114" t="inlineStr">
        <is>
          <t>Engineer</t>
        </is>
      </c>
      <c r="E40" s="114" t="inlineStr">
        <is>
          <t>Standard</t>
        </is>
      </c>
      <c r="F40" s="115" t="n">
        <v>2</v>
      </c>
      <c r="G40" s="116" t="n">
        <v>2</v>
      </c>
      <c r="H40" s="116">
        <f>F40-G40</f>
        <v/>
      </c>
      <c r="I40" s="117" t="inlineStr"/>
      <c r="K40" s="115" t="n">
        <v>2</v>
      </c>
      <c r="L40" s="116" t="n">
        <v>2</v>
      </c>
      <c r="M40" s="116" t="n">
        <v>0</v>
      </c>
      <c r="N40" s="117" t="inlineStr">
        <is>
          <t>Tan Zhang Zhu (L15), Zaki Ayub (E7270)</t>
        </is>
      </c>
    </row>
    <row r="41" ht="22" customHeight="1" s="63">
      <c r="B41" s="108" t="n"/>
      <c r="C41" s="122" t="n"/>
      <c r="D41" s="114" t="inlineStr">
        <is>
          <t>Technician</t>
        </is>
      </c>
      <c r="E41" s="114" t="inlineStr">
        <is>
          <t>Standard</t>
        </is>
      </c>
      <c r="F41" s="115" t="n">
        <v>3</v>
      </c>
      <c r="G41" s="116" t="n">
        <v>3</v>
      </c>
      <c r="H41" s="116">
        <f>F41-G41</f>
        <v/>
      </c>
      <c r="I41" s="117" t="inlineStr"/>
      <c r="K41" s="115" t="n">
        <v>6</v>
      </c>
      <c r="L41" s="116" t="n">
        <v>6</v>
      </c>
      <c r="M41" s="116" t="n">
        <v>0</v>
      </c>
      <c r="N41" s="117" t="inlineStr">
        <is>
          <t>6 Staff: Aiman, Hazmi, Sulaiman, Hakimi, Norliyana, Sholehan</t>
        </is>
      </c>
    </row>
    <row r="42" ht="20" customHeight="1" s="63">
      <c r="B42" s="108" t="n"/>
      <c r="C42" s="118" t="inlineStr">
        <is>
          <t>Total</t>
        </is>
      </c>
      <c r="D42" s="119" t="n"/>
      <c r="E42" s="119" t="n"/>
      <c r="F42" s="120">
        <f>SUM(F39:F41)</f>
        <v/>
      </c>
      <c r="G42" s="120">
        <f>SUM(G39:G41)</f>
        <v/>
      </c>
      <c r="H42" s="120">
        <f>SUM(H39:H41)</f>
        <v/>
      </c>
      <c r="I42" s="119" t="n"/>
      <c r="K42" s="120">
        <f>SUM(K39:K41)</f>
        <v/>
      </c>
      <c r="L42" s="120">
        <f>SUM(L39:L41)</f>
        <v/>
      </c>
      <c r="M42" s="120">
        <f>SUM(M39:M41)</f>
        <v/>
      </c>
      <c r="N42" s="119" t="n"/>
    </row>
    <row r="43" ht="22" customHeight="1" s="63">
      <c r="A43" s="72" t="n">
        <v>-1</v>
      </c>
      <c r="B43" s="104" t="inlineStr">
        <is>
          <t>IT</t>
        </is>
      </c>
      <c r="C43" s="122" t="n"/>
      <c r="D43" s="114" t="inlineStr">
        <is>
          <t>Engineer</t>
        </is>
      </c>
      <c r="E43" s="114" t="inlineStr">
        <is>
          <t>Standard</t>
        </is>
      </c>
      <c r="F43" s="115" t="n">
        <v>1</v>
      </c>
      <c r="G43" s="116" t="n">
        <v>1</v>
      </c>
      <c r="H43" s="116">
        <f>F43-G43</f>
        <v/>
      </c>
      <c r="I43" s="117" t="inlineStr"/>
      <c r="K43" s="115" t="n">
        <v>1</v>
      </c>
      <c r="L43" s="116" t="n">
        <v>1</v>
      </c>
      <c r="M43" s="116" t="n">
        <v>0</v>
      </c>
      <c r="N43" s="117" t="inlineStr">
        <is>
          <t>Khairul Salni (MacBook Air M4 13")</t>
        </is>
      </c>
    </row>
    <row r="44" ht="22" customHeight="1" s="63">
      <c r="B44" s="108" t="n"/>
      <c r="C44" s="122" t="n"/>
      <c r="D44" s="114" t="inlineStr">
        <is>
          <t>Executive</t>
        </is>
      </c>
      <c r="E44" s="114" t="inlineStr">
        <is>
          <t>Standard</t>
        </is>
      </c>
      <c r="F44" s="115" t="n">
        <v>1</v>
      </c>
      <c r="G44" s="116" t="n">
        <v>0</v>
      </c>
      <c r="H44" s="116">
        <f>F44-G44</f>
        <v/>
      </c>
      <c r="I44" s="117" t="inlineStr">
        <is>
          <t>1 Existing Vacancy in 2022</t>
        </is>
      </c>
      <c r="K44" s="115" t="n">
        <v>2</v>
      </c>
      <c r="L44" s="116" t="n">
        <v>2</v>
      </c>
      <c r="M44" s="116" t="n">
        <v>0</v>
      </c>
      <c r="N44" s="117" t="inlineStr">
        <is>
          <t>Haziq Afendi (MacBook Air M2 13"), Saipulnizam Yusof (MacBook Air M1 13")</t>
        </is>
      </c>
    </row>
    <row r="45" ht="20" customHeight="1" s="63">
      <c r="B45" s="108" t="n"/>
      <c r="C45" s="118" t="inlineStr">
        <is>
          <t>Total</t>
        </is>
      </c>
      <c r="D45" s="119" t="n"/>
      <c r="E45" s="119" t="n"/>
      <c r="F45" s="120">
        <f>SUM(F43:F44)</f>
        <v/>
      </c>
      <c r="G45" s="120">
        <f>SUM(G43:G44)</f>
        <v/>
      </c>
      <c r="H45" s="120">
        <f>SUM(H43:H44)</f>
        <v/>
      </c>
      <c r="I45" s="119" t="n"/>
      <c r="K45" s="120">
        <f>SUM(K43:K44)</f>
        <v/>
      </c>
      <c r="L45" s="120">
        <f>SUM(L43:L44)</f>
        <v/>
      </c>
      <c r="M45" s="120">
        <f>SUM(M43:M44)</f>
        <v/>
      </c>
      <c r="N45" s="119" t="n"/>
    </row>
    <row r="46" ht="22" customHeight="1" s="63">
      <c r="A46" s="72" t="n">
        <v>0</v>
      </c>
      <c r="B46" s="104" t="inlineStr">
        <is>
          <t>HR &amp; Admin</t>
        </is>
      </c>
      <c r="C46" s="121" t="n"/>
      <c r="D46" s="109" t="inlineStr">
        <is>
          <t>HOD</t>
        </is>
      </c>
      <c r="E46" s="109" t="inlineStr">
        <is>
          <t>HOD</t>
        </is>
      </c>
      <c r="F46" s="110" t="n">
        <v>1</v>
      </c>
      <c r="G46" s="111" t="n">
        <v>1</v>
      </c>
      <c r="H46" s="111">
        <f>F46-G46</f>
        <v/>
      </c>
      <c r="I46" s="112" t="inlineStr"/>
      <c r="K46" s="110" t="n">
        <v>0</v>
      </c>
      <c r="L46" s="111" t="n">
        <v>0</v>
      </c>
      <c r="M46" s="111" t="n">
        <v>0</v>
      </c>
      <c r="N46" s="112" t="inlineStr">
        <is>
          <t>-</t>
        </is>
      </c>
    </row>
    <row r="47" ht="22" customHeight="1" s="63">
      <c r="B47" s="108" t="n"/>
      <c r="C47" s="121" t="n"/>
      <c r="D47" s="109" t="inlineStr">
        <is>
          <t>Executive</t>
        </is>
      </c>
      <c r="E47" s="109" t="inlineStr">
        <is>
          <t>Standard</t>
        </is>
      </c>
      <c r="F47" s="110" t="n">
        <v>1</v>
      </c>
      <c r="G47" s="111" t="n">
        <v>0</v>
      </c>
      <c r="H47" s="111">
        <f>F47-G47</f>
        <v/>
      </c>
      <c r="I47" s="112" t="inlineStr">
        <is>
          <t>1 Existing Vacancy in 2022</t>
        </is>
      </c>
      <c r="K47" s="110" t="n">
        <v>2</v>
      </c>
      <c r="L47" s="111" t="n">
        <v>2</v>
      </c>
      <c r="M47" s="111" t="n">
        <v>0</v>
      </c>
      <c r="N47" s="112" t="inlineStr">
        <is>
          <t>Sim Fui Duan (ThinkPad L14), Ng Xin Yi (E5470)</t>
        </is>
      </c>
    </row>
    <row r="48" ht="20" customHeight="1" s="63">
      <c r="B48" s="108" t="n"/>
      <c r="C48" s="118" t="inlineStr">
        <is>
          <t>Total</t>
        </is>
      </c>
      <c r="D48" s="119" t="n"/>
      <c r="E48" s="119" t="n"/>
      <c r="F48" s="120">
        <f>SUM(F46:F47)</f>
        <v/>
      </c>
      <c r="G48" s="120">
        <f>SUM(G46:G47)</f>
        <v/>
      </c>
      <c r="H48" s="120">
        <f>SUM(H46:H47)</f>
        <v/>
      </c>
      <c r="I48" s="119" t="n"/>
      <c r="K48" s="120">
        <f>SUM(K46:K47)</f>
        <v/>
      </c>
      <c r="L48" s="120">
        <f>SUM(L46:L47)</f>
        <v/>
      </c>
      <c r="M48" s="120">
        <f>SUM(M46:M47)</f>
        <v/>
      </c>
      <c r="N48" s="119" t="n"/>
    </row>
    <row r="49" ht="22" customHeight="1" s="63">
      <c r="A49" s="72" t="n">
        <v>0</v>
      </c>
      <c r="B49" s="104" t="inlineStr">
        <is>
          <t>Account &amp; Finance</t>
        </is>
      </c>
      <c r="C49" s="121" t="n"/>
      <c r="D49" s="109" t="inlineStr">
        <is>
          <t>HOD</t>
        </is>
      </c>
      <c r="E49" s="109" t="inlineStr">
        <is>
          <t>HOD</t>
        </is>
      </c>
      <c r="F49" s="110" t="n">
        <v>1</v>
      </c>
      <c r="G49" s="111" t="n">
        <v>1</v>
      </c>
      <c r="H49" s="111">
        <f>F49-G49</f>
        <v/>
      </c>
      <c r="I49" s="112" t="inlineStr"/>
      <c r="K49" s="110" t="n">
        <v>1</v>
      </c>
      <c r="L49" s="111" t="n">
        <v>1</v>
      </c>
      <c r="M49" s="111" t="n">
        <v>0</v>
      </c>
      <c r="N49" s="112" t="inlineStr">
        <is>
          <t>Lau Whee Ling (HP Spectre X360)</t>
        </is>
      </c>
    </row>
    <row r="50" ht="22" customHeight="1" s="63">
      <c r="B50" s="108" t="n"/>
      <c r="C50" s="121" t="n"/>
      <c r="D50" s="109" t="inlineStr">
        <is>
          <t>Manager</t>
        </is>
      </c>
      <c r="E50" s="109" t="inlineStr">
        <is>
          <t>Managerial</t>
        </is>
      </c>
      <c r="F50" s="110" t="n">
        <v>0</v>
      </c>
      <c r="G50" s="111" t="n">
        <v>0</v>
      </c>
      <c r="H50" s="111">
        <f>F50-G50</f>
        <v/>
      </c>
      <c r="I50" s="112" t="inlineStr"/>
      <c r="K50" s="110" t="n">
        <v>1</v>
      </c>
      <c r="L50" s="111" t="n">
        <v>1</v>
      </c>
      <c r="M50" s="111" t="n">
        <v>0</v>
      </c>
      <c r="N50" s="112" t="inlineStr">
        <is>
          <t>Thay Wee Koon (Latitude 5520)</t>
        </is>
      </c>
    </row>
    <row r="51" ht="22" customHeight="1" s="63">
      <c r="B51" s="108" t="n"/>
      <c r="C51" s="121" t="n"/>
      <c r="D51" s="109" t="inlineStr">
        <is>
          <t>Executive</t>
        </is>
      </c>
      <c r="E51" s="109" t="inlineStr">
        <is>
          <t>Standard</t>
        </is>
      </c>
      <c r="F51" s="110" t="n">
        <v>3</v>
      </c>
      <c r="G51" s="111" t="n">
        <v>3</v>
      </c>
      <c r="H51" s="111">
        <f>F51-G51</f>
        <v/>
      </c>
      <c r="I51" s="112" t="inlineStr"/>
      <c r="K51" s="110" t="n">
        <v>2</v>
      </c>
      <c r="L51" s="111" t="n">
        <v>2</v>
      </c>
      <c r="M51" s="111" t="n">
        <v>0</v>
      </c>
      <c r="N51" s="112" t="inlineStr">
        <is>
          <t>Azly Jaludian (Latitude 5520), Tan Pei Fang (Latitude 5520)</t>
        </is>
      </c>
    </row>
    <row r="52" ht="20" customHeight="1" s="63">
      <c r="B52" s="108" t="n"/>
      <c r="C52" s="118" t="inlineStr">
        <is>
          <t>Total</t>
        </is>
      </c>
      <c r="D52" s="119" t="n"/>
      <c r="E52" s="119" t="n"/>
      <c r="F52" s="120">
        <f>SUM(F49:F51)</f>
        <v/>
      </c>
      <c r="G52" s="120">
        <f>SUM(G49:G51)</f>
        <v/>
      </c>
      <c r="H52" s="120">
        <f>SUM(H49:H51)</f>
        <v/>
      </c>
      <c r="I52" s="119" t="n"/>
      <c r="K52" s="120">
        <f>SUM(K49:K51)</f>
        <v/>
      </c>
      <c r="L52" s="120">
        <f>SUM(L49:L51)</f>
        <v/>
      </c>
      <c r="M52" s="120">
        <f>SUM(M49:M51)</f>
        <v/>
      </c>
      <c r="N52" s="119" t="n"/>
    </row>
    <row r="53" ht="22" customHeight="1" s="63">
      <c r="A53" s="72" t="n">
        <v>1</v>
      </c>
      <c r="B53" s="104" t="inlineStr">
        <is>
          <t>Supply Chain</t>
        </is>
      </c>
      <c r="C53" s="121" t="n"/>
      <c r="D53" s="109" t="inlineStr">
        <is>
          <t>Executive</t>
        </is>
      </c>
      <c r="E53" s="109" t="inlineStr">
        <is>
          <t>Standard</t>
        </is>
      </c>
      <c r="F53" s="110" t="n">
        <v>8</v>
      </c>
      <c r="G53" s="111" t="n">
        <v>8</v>
      </c>
      <c r="H53" s="111">
        <f>F53-G53</f>
        <v/>
      </c>
      <c r="I53" s="112" t="inlineStr"/>
      <c r="K53" s="110" t="n">
        <v>7</v>
      </c>
      <c r="L53" s="111" t="n">
        <v>2</v>
      </c>
      <c r="M53" s="111" t="n">
        <v>5</v>
      </c>
      <c r="N53" s="112" t="inlineStr">
        <is>
          <t>2 Owned (Rosmaniza, Selva) + 5 Leased (Aina, Rosmaniza, Aida, Shuada, Ng WP)</t>
        </is>
      </c>
    </row>
    <row r="54" ht="20" customHeight="1" s="63">
      <c r="B54" s="108" t="n"/>
      <c r="C54" s="118" t="inlineStr">
        <is>
          <t>Total</t>
        </is>
      </c>
      <c r="D54" s="119" t="n"/>
      <c r="E54" s="119" t="n"/>
      <c r="F54" s="120">
        <f>SUM(F53:F53)</f>
        <v/>
      </c>
      <c r="G54" s="120">
        <f>SUM(G53:G53)</f>
        <v/>
      </c>
      <c r="H54" s="120">
        <f>SUM(H53:H53)</f>
        <v/>
      </c>
      <c r="I54" s="119" t="n"/>
      <c r="K54" s="120">
        <f>SUM(K53:K53)</f>
        <v/>
      </c>
      <c r="L54" s="120">
        <f>SUM(L53:L53)</f>
        <v/>
      </c>
      <c r="M54" s="120">
        <f>SUM(M53:M53)</f>
        <v/>
      </c>
      <c r="N54" s="119" t="n"/>
    </row>
    <row r="56" ht="24" customHeight="1" s="63">
      <c r="B56" s="123" t="inlineStr">
        <is>
          <t>Summary</t>
        </is>
      </c>
      <c r="C56" s="124" t="n"/>
      <c r="D56" s="124" t="n"/>
      <c r="E56" s="124" t="n"/>
      <c r="F56" s="123">
        <f>F21+F25+F31+F34+F38+F42+F45+F48+F52+F54</f>
        <v/>
      </c>
      <c r="G56" s="123">
        <f>G21+G25+G31+G34+G38+G42+G45+G48+G52+G54</f>
        <v/>
      </c>
      <c r="H56" s="123">
        <f>H21+H25+H31+H34+H38+H42+H45+H48+H52+H54</f>
        <v/>
      </c>
      <c r="I56" s="124" t="n"/>
      <c r="K56" s="123">
        <f>K21+K25+K31+K34+K38+K42+K45+K48+K52+K54</f>
        <v/>
      </c>
      <c r="L56" s="123">
        <f>L21+L25+L31+L34+L38+L42+L45+L48+L52+L54</f>
        <v/>
      </c>
      <c r="M56" s="123">
        <f>M21+M25+M31+M34+M38+M42+M45+M48+M52+M54</f>
        <v/>
      </c>
      <c r="N56" s="125" t="inlineStr">
        <is>
          <t>86 Total Active Units (70 Owned, 16 Leased) | 84 Baseline Quota (76 Released, 8 Balance)</t>
        </is>
      </c>
    </row>
  </sheetData>
  <mergeCells count="42">
    <mergeCell ref="C54:E54"/>
    <mergeCell ref="B22:B25"/>
    <mergeCell ref="B26:B31"/>
    <mergeCell ref="F9:I9"/>
    <mergeCell ref="B1:D1"/>
    <mergeCell ref="C31:E31"/>
    <mergeCell ref="C21:E21"/>
    <mergeCell ref="A22:A24"/>
    <mergeCell ref="C26:C27"/>
    <mergeCell ref="A35:A37"/>
    <mergeCell ref="B39:B42"/>
    <mergeCell ref="C52:E52"/>
    <mergeCell ref="A26:A27"/>
    <mergeCell ref="B12:B21"/>
    <mergeCell ref="A46:A47"/>
    <mergeCell ref="C48:E48"/>
    <mergeCell ref="B32:B34"/>
    <mergeCell ref="A49:A51"/>
    <mergeCell ref="K9:N9"/>
    <mergeCell ref="C18:C20"/>
    <mergeCell ref="B53:B54"/>
    <mergeCell ref="C38:E38"/>
    <mergeCell ref="A32:A33"/>
    <mergeCell ref="A39:A41"/>
    <mergeCell ref="B56:E56"/>
    <mergeCell ref="A13:A14"/>
    <mergeCell ref="B43:B45"/>
    <mergeCell ref="B46:B48"/>
    <mergeCell ref="A18:A20"/>
    <mergeCell ref="C34:E34"/>
    <mergeCell ref="B49:B52"/>
    <mergeCell ref="C13:C14"/>
    <mergeCell ref="C42:E42"/>
    <mergeCell ref="E9"/>
    <mergeCell ref="A43:A44"/>
    <mergeCell ref="F8:I8"/>
    <mergeCell ref="A28:A29"/>
    <mergeCell ref="C45:E45"/>
    <mergeCell ref="C28:C29"/>
    <mergeCell ref="K8:N8"/>
    <mergeCell ref="B35:B38"/>
    <mergeCell ref="C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8"/>
  <sheetViews>
    <sheetView showGridLines="1" workbookViewId="0">
      <selection activeCell="A1" sqref="A1"/>
    </sheetView>
  </sheetViews>
  <sheetFormatPr baseColWidth="8" defaultRowHeight="15"/>
  <cols>
    <col width="6" customWidth="1" style="63" min="1" max="1"/>
    <col width="22" customWidth="1" style="63" min="2" max="2"/>
    <col width="20" customWidth="1" style="63" min="3" max="3"/>
    <col width="30" customWidth="1" style="63" min="4" max="4"/>
    <col width="12" customWidth="1" style="63" min="5" max="5"/>
    <col width="18" customWidth="1" style="63" min="6" max="6"/>
    <col width="30" customWidth="1" style="63" min="7" max="7"/>
    <col width="24" customWidth="1" style="63" min="8" max="8"/>
    <col width="18" customWidth="1" style="63" min="9" max="9"/>
    <col width="12" customWidth="1" style="63" min="10" max="10"/>
    <col width="20" customWidth="1" style="63" min="11" max="11"/>
    <col width="18" customWidth="1" style="63" min="12" max="12"/>
    <col width="25" customWidth="1" style="63" min="13" max="13"/>
    <col width="25" customWidth="1" style="63" min="14" max="14"/>
    <col width="32" customWidth="1" style="63" min="15" max="15"/>
  </cols>
  <sheetData>
    <row r="1" ht="26" customHeight="1" s="63">
      <c r="A1" s="126" t="inlineStr">
        <is>
          <t>JKS ENGINEERING (M) SDN BHD — IT DEVICE ALLOCATION &amp; HEADCOUNT BUDGET RECONCILIATION</t>
        </is>
      </c>
    </row>
    <row r="2" ht="18" customHeight="1" s="63">
      <c r="A2" s="127" t="inlineStr">
        <is>
          <t>Table 1: Departmental &amp; Section Headcount Allocation Summary | Table 2: Itemized Active Personnel Device Roster</t>
        </is>
      </c>
    </row>
    <row r="4" ht="22" customHeight="1" s="63">
      <c r="A4" s="128" t="inlineStr">
        <is>
          <t>TABLE 1: DEPARTMENTAL HEADCOUNT ALLOCATION &amp; BUDGET RECONCILIATION (COMBINED OWNED &amp; LEASED)</t>
        </is>
      </c>
    </row>
    <row r="5" ht="24" customHeight="1" s="63">
      <c r="A5" s="129" t="inlineStr">
        <is>
          <t>No.</t>
        </is>
      </c>
      <c r="B5" s="130" t="inlineStr">
        <is>
          <t>Department</t>
        </is>
      </c>
      <c r="C5" s="130" t="inlineStr">
        <is>
          <t>Section</t>
        </is>
      </c>
      <c r="D5" s="129" t="inlineStr">
        <is>
          <t>2019/22 Quota</t>
        </is>
      </c>
      <c r="E5" s="131" t="inlineStr">
        <is>
          <t>2026 Total HC</t>
        </is>
      </c>
      <c r="F5" s="131" t="inlineStr">
        <is>
          <t>Net HC Growth</t>
        </is>
      </c>
      <c r="G5" s="130" t="inlineStr">
        <is>
          <t>Primary Package Tier</t>
        </is>
      </c>
      <c r="H5" s="132" t="inlineStr">
        <is>
          <t>Unit Rate (RM)</t>
        </is>
      </c>
      <c r="I5" s="132" t="inlineStr">
        <is>
          <t>2019 Baseline Budget (RM)</t>
        </is>
      </c>
      <c r="J5" s="133" t="inlineStr">
        <is>
          <t>Total 2026 HC Budget (RM)</t>
        </is>
      </c>
      <c r="K5" s="132" t="inlineStr">
        <is>
          <t>Additional Budget Req. (RM)</t>
        </is>
      </c>
      <c r="L5" s="129" t="inlineStr">
        <is>
          <t>Owned Units</t>
        </is>
      </c>
      <c r="M5" s="129" t="inlineStr">
        <is>
          <t>Leased Units</t>
        </is>
      </c>
      <c r="N5" s="129" t="inlineStr">
        <is>
          <t>Fleet Composition</t>
        </is>
      </c>
      <c r="O5" s="130" t="inlineStr">
        <is>
          <t>Headcount &amp; Asset Justification</t>
        </is>
      </c>
    </row>
    <row r="6" ht="19" customHeight="1" s="63">
      <c r="A6" s="134" t="n">
        <v>1</v>
      </c>
      <c r="B6" s="135" t="inlineStr">
        <is>
          <t>Account &amp; Finance</t>
        </is>
      </c>
      <c r="C6" s="136" t="inlineStr">
        <is>
          <t>-</t>
        </is>
      </c>
      <c r="D6" s="134" t="n">
        <v>4</v>
      </c>
      <c r="E6" s="137" t="n">
        <v>4</v>
      </c>
      <c r="F6" s="138">
        <f>MAX(0, E6-D6)</f>
        <v/>
      </c>
      <c r="G6" s="136" t="inlineStr">
        <is>
          <t>Tier 5: Standard (RM 4.5k)</t>
        </is>
      </c>
      <c r="H6" s="139" t="n">
        <v>4500</v>
      </c>
      <c r="I6" s="139">
        <f>D6*H6</f>
        <v/>
      </c>
      <c r="J6" s="140">
        <f>E6*H6</f>
        <v/>
      </c>
      <c r="K6" s="140">
        <f>F6*H6</f>
        <v/>
      </c>
      <c r="L6" s="134" t="n">
        <v>4</v>
      </c>
      <c r="M6" s="134" t="n">
        <v>0</v>
      </c>
      <c r="N6" s="134" t="inlineStr">
        <is>
          <t>4 Own / 0 Lease</t>
        </is>
      </c>
      <c r="O6" s="136" t="inlineStr">
        <is>
          <t>Stable headcount; fully matched with 2019 baseline.</t>
        </is>
      </c>
    </row>
    <row r="7" ht="19" customHeight="1" s="63">
      <c r="A7" s="141" t="n">
        <v>2</v>
      </c>
      <c r="B7" s="142" t="inlineStr">
        <is>
          <t>After Sales</t>
        </is>
      </c>
      <c r="C7" s="143" t="inlineStr">
        <is>
          <t>-</t>
        </is>
      </c>
      <c r="D7" s="141" t="n">
        <v>8</v>
      </c>
      <c r="E7" s="144" t="n">
        <v>12</v>
      </c>
      <c r="F7" s="145">
        <f>MAX(0, E7-D7)</f>
        <v/>
      </c>
      <c r="G7" s="143" t="inlineStr">
        <is>
          <t>Tier 4: Manager/BD (RM 6.0k)</t>
        </is>
      </c>
      <c r="H7" s="146" t="n">
        <v>6000</v>
      </c>
      <c r="I7" s="146">
        <f>D7*H7</f>
        <v/>
      </c>
      <c r="J7" s="147">
        <f>E7*H7</f>
        <v/>
      </c>
      <c r="K7" s="147">
        <f>F7*H7</f>
        <v/>
      </c>
      <c r="L7" s="141" t="n">
        <v>12</v>
      </c>
      <c r="M7" s="134" t="n">
        <v>0</v>
      </c>
      <c r="N7" s="141" t="inlineStr">
        <is>
          <t>12 Own / 0 Lease</t>
        </is>
      </c>
      <c r="O7" s="143" t="inlineStr">
        <is>
          <t>Expanded from 8 to 12 (+4 growth: Hakimi, Norliyana, Sholehan, Alex Wee, Ng Kheng Teik). All 12 owned.</t>
        </is>
      </c>
    </row>
    <row r="8" ht="19" customHeight="1" s="63">
      <c r="A8" s="134" t="n">
        <v>3</v>
      </c>
      <c r="B8" s="135" t="inlineStr">
        <is>
          <t>Manufacturing</t>
        </is>
      </c>
      <c r="C8" s="135" t="inlineStr">
        <is>
          <t>Automation</t>
        </is>
      </c>
      <c r="D8" s="134" t="n">
        <v>9</v>
      </c>
      <c r="E8" s="137" t="n">
        <v>8</v>
      </c>
      <c r="F8" s="148">
        <f>MAX(0, E8-D8)</f>
        <v/>
      </c>
      <c r="G8" s="136" t="inlineStr">
        <is>
          <t>Tier 3: Automation Dev (RM 6.0k)</t>
        </is>
      </c>
      <c r="H8" s="139" t="n">
        <v>6000</v>
      </c>
      <c r="I8" s="139">
        <f>D8*H8</f>
        <v/>
      </c>
      <c r="J8" s="140">
        <f>E8*H8</f>
        <v/>
      </c>
      <c r="K8" s="140">
        <f>F8*H8</f>
        <v/>
      </c>
      <c r="L8" s="134" t="n">
        <v>7</v>
      </c>
      <c r="M8" s="149" t="n">
        <v>1</v>
      </c>
      <c r="N8" s="134" t="inlineStr">
        <is>
          <t>7 Own / 1 Lease</t>
        </is>
      </c>
      <c r="O8" s="136" t="inlineStr">
        <is>
          <t>Combined Software (6) &amp; Electrical Design (3) Quota = 9. Active fleet is 8 units (7 owned + 1 rental Chin Jing Sian) with 1 vacancy.</t>
        </is>
      </c>
    </row>
    <row r="9" ht="19" customHeight="1" s="63">
      <c r="A9" s="141" t="n">
        <v>4</v>
      </c>
      <c r="B9" s="142" t="inlineStr">
        <is>
          <t>Business Development</t>
        </is>
      </c>
      <c r="C9" s="143" t="inlineStr">
        <is>
          <t>-</t>
        </is>
      </c>
      <c r="D9" s="141" t="n">
        <v>3</v>
      </c>
      <c r="E9" s="144" t="n">
        <v>4</v>
      </c>
      <c r="F9" s="145">
        <f>MAX(0, E9-D9)</f>
        <v/>
      </c>
      <c r="G9" s="143" t="inlineStr">
        <is>
          <t>Tier 4: Manager/BD (RM 6.0k)</t>
        </is>
      </c>
      <c r="H9" s="146" t="n">
        <v>6000</v>
      </c>
      <c r="I9" s="146">
        <f>D9*H9</f>
        <v/>
      </c>
      <c r="J9" s="147">
        <f>E9*H9</f>
        <v/>
      </c>
      <c r="K9" s="147">
        <f>F9*H9</f>
        <v/>
      </c>
      <c r="L9" s="141" t="n">
        <v>3</v>
      </c>
      <c r="M9" s="149" t="n">
        <v>1</v>
      </c>
      <c r="N9" s="141" t="inlineStr">
        <is>
          <t>3 Own / 1 Lease</t>
        </is>
      </c>
      <c r="O9" s="143" t="inlineStr">
        <is>
          <t>Expanded from 3 to 4 (+1 growth: Evelyn Lee / Jayden Ng). 1 rental unit.</t>
        </is>
      </c>
    </row>
    <row r="10" ht="19" customHeight="1" s="63">
      <c r="A10" s="134" t="n">
        <v>5</v>
      </c>
      <c r="B10" s="135" t="inlineStr">
        <is>
          <t>Technology</t>
        </is>
      </c>
      <c r="C10" s="135" t="inlineStr">
        <is>
          <t>Costing</t>
        </is>
      </c>
      <c r="D10" s="134" t="n">
        <v>3</v>
      </c>
      <c r="E10" s="137" t="n">
        <v>3</v>
      </c>
      <c r="F10" s="138">
        <f>MAX(0, E10-D10)</f>
        <v/>
      </c>
      <c r="G10" s="136" t="inlineStr">
        <is>
          <t>Tier 4: Costing/BD (RM 6.0k)</t>
        </is>
      </c>
      <c r="H10" s="139" t="n">
        <v>6000</v>
      </c>
      <c r="I10" s="139">
        <f>D10*H10</f>
        <v/>
      </c>
      <c r="J10" s="140">
        <f>E10*H10</f>
        <v/>
      </c>
      <c r="K10" s="140">
        <f>F10*H10</f>
        <v/>
      </c>
      <c r="L10" s="134" t="n">
        <v>2</v>
      </c>
      <c r="M10" s="149" t="n">
        <v>1</v>
      </c>
      <c r="N10" s="134" t="inlineStr">
        <is>
          <t>2 Own / 1 Lease</t>
        </is>
      </c>
      <c r="O10" s="136" t="inlineStr">
        <is>
          <t>Pricing &amp; estimating unit (Wu Choi Mee, Goh Ying Ying, Sew Thee Hwa). 1 rental unit.</t>
        </is>
      </c>
    </row>
    <row r="11" ht="19" customHeight="1" s="63">
      <c r="A11" s="141" t="n">
        <v>6</v>
      </c>
      <c r="B11" s="142" t="inlineStr">
        <is>
          <t>HR &amp; Admin</t>
        </is>
      </c>
      <c r="C11" s="143" t="inlineStr">
        <is>
          <t>-</t>
        </is>
      </c>
      <c r="D11" s="141" t="n">
        <v>2</v>
      </c>
      <c r="E11" s="144" t="n">
        <v>2</v>
      </c>
      <c r="F11" s="138">
        <f>MAX(0, E11-D11)</f>
        <v/>
      </c>
      <c r="G11" s="143" t="inlineStr">
        <is>
          <t>Tier 5: Standard (RM 4.5k)</t>
        </is>
      </c>
      <c r="H11" s="146" t="n">
        <v>4500</v>
      </c>
      <c r="I11" s="146">
        <f>D11*H11</f>
        <v/>
      </c>
      <c r="J11" s="147">
        <f>E11*H11</f>
        <v/>
      </c>
      <c r="K11" s="147">
        <f>F11*H11</f>
        <v/>
      </c>
      <c r="L11" s="141" t="n">
        <v>2</v>
      </c>
      <c r="M11" s="134" t="n">
        <v>0</v>
      </c>
      <c r="N11" s="141" t="inlineStr">
        <is>
          <t>2 Own / 0 Lease</t>
        </is>
      </c>
      <c r="O11" s="143" t="inlineStr">
        <is>
          <t>Stable headcount; fully matched with baseline quota.</t>
        </is>
      </c>
    </row>
    <row r="12" ht="19" customHeight="1" s="63">
      <c r="A12" s="134" t="n">
        <v>7</v>
      </c>
      <c r="B12" s="135" t="inlineStr">
        <is>
          <t>IT</t>
        </is>
      </c>
      <c r="C12" s="136" t="inlineStr">
        <is>
          <t>-</t>
        </is>
      </c>
      <c r="D12" s="134" t="n">
        <v>2</v>
      </c>
      <c r="E12" s="137" t="n">
        <v>3</v>
      </c>
      <c r="F12" s="145">
        <f>MAX(0, E12-D12)</f>
        <v/>
      </c>
      <c r="G12" s="136" t="inlineStr">
        <is>
          <t>Tier 3: Software/IT (RM 6.0k)</t>
        </is>
      </c>
      <c r="H12" s="139" t="n">
        <v>6000</v>
      </c>
      <c r="I12" s="139">
        <f>D12*H12</f>
        <v/>
      </c>
      <c r="J12" s="140">
        <f>E12*H12</f>
        <v/>
      </c>
      <c r="K12" s="140">
        <f>F12*H12</f>
        <v/>
      </c>
      <c r="L12" s="134" t="n">
        <v>3</v>
      </c>
      <c r="M12" s="134" t="n">
        <v>0</v>
      </c>
      <c r="N12" s="134" t="inlineStr">
        <is>
          <t>3 Own / 0 Lease</t>
        </is>
      </c>
      <c r="O12" s="136" t="inlineStr">
        <is>
          <t>Expanded from 2 to 3 (+1 growth: Haziq, Khairul, Saipulnizam) for in-house ERP development.</t>
        </is>
      </c>
    </row>
    <row r="13" ht="19" customHeight="1" s="63">
      <c r="A13" s="141" t="n">
        <v>8</v>
      </c>
      <c r="B13" s="142" t="inlineStr">
        <is>
          <t>Manufacturing</t>
        </is>
      </c>
      <c r="C13" s="142" t="inlineStr">
        <is>
          <t>Facilities &amp; Maintenance</t>
        </is>
      </c>
      <c r="D13" s="141" t="n">
        <v>1</v>
      </c>
      <c r="E13" s="144" t="n">
        <v>0</v>
      </c>
      <c r="F13" s="148">
        <f>MAX(0, E13-D13)</f>
        <v/>
      </c>
      <c r="G13" s="143" t="inlineStr">
        <is>
          <t>Tier 5: Standard (RM 4.5k)</t>
        </is>
      </c>
      <c r="H13" s="146" t="n">
        <v>4500</v>
      </c>
      <c r="I13" s="146">
        <f>D13*H13</f>
        <v/>
      </c>
      <c r="J13" s="147">
        <f>E13*H13</f>
        <v/>
      </c>
      <c r="K13" s="147">
        <f>F13*H13</f>
        <v/>
      </c>
      <c r="L13" s="141" t="n">
        <v>0</v>
      </c>
      <c r="M13" s="134" t="n">
        <v>0</v>
      </c>
      <c r="N13" s="141" t="inlineStr">
        <is>
          <t>0 Own / 0 Lease</t>
        </is>
      </c>
      <c r="O13" s="143" t="inlineStr">
        <is>
          <t>Historical 2019/22 baseline quota slot (currently unallocated in 2026 fleet).</t>
        </is>
      </c>
    </row>
    <row r="14" ht="19" customHeight="1" s="63">
      <c r="A14" s="134" t="n">
        <v>9</v>
      </c>
      <c r="B14" s="135" t="inlineStr">
        <is>
          <t>Manufacturing</t>
        </is>
      </c>
      <c r="C14" s="136" t="inlineStr">
        <is>
          <t>-</t>
        </is>
      </c>
      <c r="D14" s="134" t="n">
        <v>1</v>
      </c>
      <c r="E14" s="137" t="n">
        <v>2</v>
      </c>
      <c r="F14" s="145">
        <f>MAX(0, E14-D14)</f>
        <v/>
      </c>
      <c r="G14" s="136" t="inlineStr">
        <is>
          <t>Tier 1: HOD / Director (RM 8.0k)</t>
        </is>
      </c>
      <c r="H14" s="139" t="n">
        <v>8000</v>
      </c>
      <c r="I14" s="139">
        <f>D14*H14</f>
        <v/>
      </c>
      <c r="J14" s="140">
        <f>E14*H14</f>
        <v/>
      </c>
      <c r="K14" s="140">
        <f>F14*H14</f>
        <v/>
      </c>
      <c r="L14" s="134" t="n">
        <v>2</v>
      </c>
      <c r="M14" s="134" t="n">
        <v>0</v>
      </c>
      <c r="N14" s="134" t="inlineStr">
        <is>
          <t>2 Own / 0 Lease</t>
        </is>
      </c>
      <c r="O14" s="136" t="inlineStr">
        <is>
          <t>Expanded from 1 to 2 (Liew Kwok Jee &amp; Lim Kok Teong).</t>
        </is>
      </c>
    </row>
    <row r="15" ht="19" customHeight="1" s="63">
      <c r="A15" s="141" t="n">
        <v>10</v>
      </c>
      <c r="B15" s="142" t="inlineStr">
        <is>
          <t>Manufacturing</t>
        </is>
      </c>
      <c r="C15" s="142" t="inlineStr">
        <is>
          <t>Mechanical Design</t>
        </is>
      </c>
      <c r="D15" s="141" t="n">
        <v>7</v>
      </c>
      <c r="E15" s="144" t="n">
        <v>7</v>
      </c>
      <c r="F15" s="138">
        <f>MAX(0, E15-D15)</f>
        <v/>
      </c>
      <c r="G15" s="143" t="inlineStr">
        <is>
          <t>Tier 2: Designer Workstation (RM 7.5k)</t>
        </is>
      </c>
      <c r="H15" s="146" t="n">
        <v>7500</v>
      </c>
      <c r="I15" s="146">
        <f>D15*H15</f>
        <v/>
      </c>
      <c r="J15" s="147">
        <f>E15*H15</f>
        <v/>
      </c>
      <c r="K15" s="147">
        <f>F15*H15</f>
        <v/>
      </c>
      <c r="L15" s="141" t="n">
        <v>7</v>
      </c>
      <c r="M15" s="134" t="n">
        <v>0</v>
      </c>
      <c r="N15" s="141" t="inlineStr">
        <is>
          <t>7 Own / 0 Lease</t>
        </is>
      </c>
      <c r="O15" s="143" t="inlineStr">
        <is>
          <t>7 active designers matching 2019 quota (Aiman, Akhmal, Haidir, Izzah, Chong JY, Zaki, Hong).</t>
        </is>
      </c>
    </row>
    <row r="16" ht="19" customHeight="1" s="63">
      <c r="A16" s="134" t="n">
        <v>11</v>
      </c>
      <c r="B16" s="135" t="inlineStr">
        <is>
          <t>Manufacturing</t>
        </is>
      </c>
      <c r="C16" s="135" t="inlineStr">
        <is>
          <t>Operation Control</t>
        </is>
      </c>
      <c r="D16" s="134" t="n">
        <v>2</v>
      </c>
      <c r="E16" s="137" t="n">
        <v>2</v>
      </c>
      <c r="F16" s="138">
        <f>MAX(0, E16-D16)</f>
        <v/>
      </c>
      <c r="G16" s="136" t="inlineStr">
        <is>
          <t>Tier 5: Standard (RM 4.5k)</t>
        </is>
      </c>
      <c r="H16" s="139" t="n">
        <v>4500</v>
      </c>
      <c r="I16" s="139">
        <f>D16*H16</f>
        <v/>
      </c>
      <c r="J16" s="140">
        <f>E16*H16</f>
        <v/>
      </c>
      <c r="K16" s="140">
        <f>F16*H16</f>
        <v/>
      </c>
      <c r="L16" s="134" t="n">
        <v>2</v>
      </c>
      <c r="M16" s="134" t="n">
        <v>0</v>
      </c>
      <c r="N16" s="134" t="inlineStr">
        <is>
          <t>2 Own / 0 Lease</t>
        </is>
      </c>
      <c r="O16" s="136" t="inlineStr">
        <is>
          <t>Quota matched (Ng Wan Teng, Ashiqin Shahrunizam).</t>
        </is>
      </c>
    </row>
    <row r="17" ht="19" customHeight="1" s="63">
      <c r="A17" s="141" t="n">
        <v>12</v>
      </c>
      <c r="B17" s="142" t="inlineStr">
        <is>
          <t>Process &amp; Lab</t>
        </is>
      </c>
      <c r="C17" s="143" t="inlineStr">
        <is>
          <t>-</t>
        </is>
      </c>
      <c r="D17" s="141" t="n">
        <v>5</v>
      </c>
      <c r="E17" s="144" t="n">
        <v>4</v>
      </c>
      <c r="F17" s="148">
        <f>MAX(0, E17-D17)</f>
        <v/>
      </c>
      <c r="G17" s="143" t="inlineStr">
        <is>
          <t>Tier 5: Standard / Lab HOD (RM 4.5k)</t>
        </is>
      </c>
      <c r="H17" s="146" t="n">
        <v>4500</v>
      </c>
      <c r="I17" s="146">
        <f>D17*H17</f>
        <v/>
      </c>
      <c r="J17" s="147">
        <f>E17*H17</f>
        <v/>
      </c>
      <c r="K17" s="147">
        <f>F17*H17</f>
        <v/>
      </c>
      <c r="L17" s="141" t="n">
        <v>3</v>
      </c>
      <c r="M17" s="149" t="n">
        <v>1</v>
      </c>
      <c r="N17" s="141" t="inlineStr">
        <is>
          <t>3 Own / 1 Lease</t>
        </is>
      </c>
      <c r="O17" s="143" t="inlineStr">
        <is>
          <t>4 active units (1 HOD: Vinotha + 3 Engineers: Arijey, Raja Nur Atikah, Parany). 1 rental unit, 1 engineer vacancy against 5 baseline quota.</t>
        </is>
      </c>
    </row>
    <row r="18" ht="19" customHeight="1" s="63">
      <c r="A18" s="134" t="n">
        <v>13</v>
      </c>
      <c r="B18" s="135" t="inlineStr">
        <is>
          <t>Manufacturing</t>
        </is>
      </c>
      <c r="C18" s="135" t="inlineStr">
        <is>
          <t>Production</t>
        </is>
      </c>
      <c r="D18" s="134" t="n">
        <v>12</v>
      </c>
      <c r="E18" s="137" t="n">
        <v>15</v>
      </c>
      <c r="F18" s="145">
        <f>MAX(0, E18-D18)</f>
        <v/>
      </c>
      <c r="G18" s="136" t="inlineStr">
        <is>
          <t>Tier 5: Standard (RM 4.5k)</t>
        </is>
      </c>
      <c r="H18" s="139" t="n">
        <v>4500</v>
      </c>
      <c r="I18" s="139">
        <f>D18*H18</f>
        <v/>
      </c>
      <c r="J18" s="140">
        <f>E18*H18</f>
        <v/>
      </c>
      <c r="K18" s="140">
        <f>F18*H18</f>
        <v/>
      </c>
      <c r="L18" s="134" t="n">
        <v>12</v>
      </c>
      <c r="M18" s="149" t="n">
        <v>3</v>
      </c>
      <c r="N18" s="134" t="inlineStr">
        <is>
          <t>12 Own / 3 Lease</t>
        </is>
      </c>
      <c r="O18" s="136" t="inlineStr">
        <is>
          <t>15 active units (1 Eng + 7 Assembly techs + 3 Electrical techs + 2 Rental + 2 Stations) vs 12 Baseline Quota. Exceeds by +3.</t>
        </is>
      </c>
    </row>
    <row r="19" ht="19" customHeight="1" s="63">
      <c r="A19" s="141" t="n">
        <v>14</v>
      </c>
      <c r="B19" s="142" t="inlineStr">
        <is>
          <t>Supply Chain</t>
        </is>
      </c>
      <c r="C19" s="143" t="inlineStr">
        <is>
          <t>-</t>
        </is>
      </c>
      <c r="D19" s="141" t="n">
        <v>8</v>
      </c>
      <c r="E19" s="144" t="n">
        <v>7</v>
      </c>
      <c r="F19" s="148">
        <f>MAX(0, E19-D19)</f>
        <v/>
      </c>
      <c r="G19" s="143" t="inlineStr">
        <is>
          <t>Tier 5: Standard (RM 4.5k)</t>
        </is>
      </c>
      <c r="H19" s="146" t="n">
        <v>4500</v>
      </c>
      <c r="I19" s="146">
        <f>D19*H19</f>
        <v/>
      </c>
      <c r="J19" s="147">
        <f>E19*H19</f>
        <v/>
      </c>
      <c r="K19" s="147">
        <f>F19*H19</f>
        <v/>
      </c>
      <c r="L19" s="141" t="n">
        <v>2</v>
      </c>
      <c r="M19" s="149" t="n">
        <v>5</v>
      </c>
      <c r="N19" s="141" t="inlineStr">
        <is>
          <t>2 Own / 5 Lease</t>
        </is>
      </c>
      <c r="O19" s="143" t="inlineStr">
        <is>
          <t>7 active units (2 owned + 5 rental units: Aina, Rosmaniza, Aida, Shuada, Ng Wei Peng).</t>
        </is>
      </c>
    </row>
    <row r="20" ht="19" customHeight="1" s="63">
      <c r="A20" s="134" t="n">
        <v>15</v>
      </c>
      <c r="B20" s="135" t="inlineStr">
        <is>
          <t>Techno-Commercial</t>
        </is>
      </c>
      <c r="C20" s="136" t="inlineStr">
        <is>
          <t>-</t>
        </is>
      </c>
      <c r="D20" s="134" t="n">
        <v>6</v>
      </c>
      <c r="E20" s="137" t="n">
        <v>6</v>
      </c>
      <c r="F20" s="138">
        <f>MAX(0, E20-D20)</f>
        <v/>
      </c>
      <c r="G20" s="136" t="inlineStr">
        <is>
          <t>Tier 4: Manager/BD/TC (RM 6.0k)</t>
        </is>
      </c>
      <c r="H20" s="139" t="n">
        <v>6000</v>
      </c>
      <c r="I20" s="139">
        <f>D20*H20</f>
        <v/>
      </c>
      <c r="J20" s="140">
        <f>E20*H20</f>
        <v/>
      </c>
      <c r="K20" s="140">
        <f>F20*H20</f>
        <v/>
      </c>
      <c r="L20" s="134" t="n">
        <v>2</v>
      </c>
      <c r="M20" s="149" t="n">
        <v>4</v>
      </c>
      <c r="N20" s="134" t="inlineStr">
        <is>
          <t>2 Own / 4 Lease</t>
        </is>
      </c>
      <c r="O20" s="136" t="inlineStr">
        <is>
          <t>6 active units (Yeoh Chin Huat, Kok Keng Yeu + 4 rental units: Ong CS, Syukri, Lim JY, Tan SS).</t>
        </is>
      </c>
    </row>
    <row r="21" ht="19" customHeight="1" s="63">
      <c r="A21" s="141" t="n">
        <v>16</v>
      </c>
      <c r="B21" s="142" t="inlineStr">
        <is>
          <t>Technology</t>
        </is>
      </c>
      <c r="C21" s="142" t="inlineStr">
        <is>
          <t>RND</t>
        </is>
      </c>
      <c r="D21" s="141" t="n">
        <v>6</v>
      </c>
      <c r="E21" s="144" t="n">
        <v>7</v>
      </c>
      <c r="F21" s="145">
        <f>MAX(0, E21-D21)</f>
        <v/>
      </c>
      <c r="G21" s="143" t="inlineStr">
        <is>
          <t>Tier 2: Designer/R&amp;D (RM 7.5k)</t>
        </is>
      </c>
      <c r="H21" s="146" t="n">
        <v>7500</v>
      </c>
      <c r="I21" s="146">
        <f>D21*H21</f>
        <v/>
      </c>
      <c r="J21" s="147">
        <f>E21*H21</f>
        <v/>
      </c>
      <c r="K21" s="147">
        <f>F21*H21</f>
        <v/>
      </c>
      <c r="L21" s="141" t="n">
        <v>7</v>
      </c>
      <c r="M21" s="134" t="n">
        <v>0</v>
      </c>
      <c r="N21" s="141" t="inlineStr">
        <is>
          <t>7 Own / 0 Lease</t>
        </is>
      </c>
      <c r="O21" s="143" t="inlineStr">
        <is>
          <t>7 active R&amp;D/Tech engineers (1 HOD + 6 Engineers vs 6 Baseline Quota -&gt; +1 Exceed).</t>
        </is>
      </c>
    </row>
    <row r="22" ht="19" customHeight="1" s="63">
      <c r="A22" s="134" t="n">
        <v>17</v>
      </c>
      <c r="B22" s="135" t="inlineStr">
        <is>
          <t>Technology</t>
        </is>
      </c>
      <c r="C22" s="135" t="inlineStr">
        <is>
          <t>Tech Development</t>
        </is>
      </c>
      <c r="D22" s="134" t="n">
        <v>5</v>
      </c>
      <c r="E22" s="137" t="n">
        <v>0</v>
      </c>
      <c r="F22" s="148">
        <f>MAX(0, E22-D22)</f>
        <v/>
      </c>
      <c r="G22" s="136" t="inlineStr">
        <is>
          <t>Tier 3: Software/IT (RM 6.0k)</t>
        </is>
      </c>
      <c r="H22" s="139" t="n">
        <v>6000</v>
      </c>
      <c r="I22" s="139">
        <f>D22*H22</f>
        <v/>
      </c>
      <c r="J22" s="140">
        <f>E22*H22</f>
        <v/>
      </c>
      <c r="K22" s="140">
        <f>F22*H22</f>
        <v/>
      </c>
      <c r="L22" s="134" t="n">
        <v>0</v>
      </c>
      <c r="M22" s="134" t="n">
        <v>0</v>
      </c>
      <c r="N22" s="134" t="inlineStr">
        <is>
          <t>0 Own / 0 Lease</t>
        </is>
      </c>
      <c r="O22" s="136" t="inlineStr">
        <is>
          <t>Historical Charlez team baseline quota (5 units: 1 HOD + 4 Engineers; historical slots transferred/absorbed).</t>
        </is>
      </c>
    </row>
    <row r="23" ht="24" customHeight="1" s="63">
      <c r="A23" s="150" t="inlineStr">
        <is>
          <t>TOTAL</t>
        </is>
      </c>
      <c r="B23" s="151" t="inlineStr">
        <is>
          <t>All 17 Departments / Sections</t>
        </is>
      </c>
      <c r="C23" s="152" t="inlineStr">
        <is>
          <t>-</t>
        </is>
      </c>
      <c r="D23" s="150">
        <f>SUM(D6:D22)</f>
        <v/>
      </c>
      <c r="E23" s="150">
        <f>SUM(E6:E22)</f>
        <v/>
      </c>
      <c r="F23" s="150">
        <f>SUM(F6:F22)</f>
        <v/>
      </c>
      <c r="G23" s="151" t="inlineStr">
        <is>
          <t>Overall Summary</t>
        </is>
      </c>
      <c r="H23" s="152" t="inlineStr">
        <is>
          <t>-</t>
        </is>
      </c>
      <c r="I23" s="153">
        <f>SUM(I6:I22)</f>
        <v/>
      </c>
      <c r="J23" s="153">
        <f>SUM(J6:J22)</f>
        <v/>
      </c>
      <c r="K23" s="153">
        <f>SUM(K6:K22)</f>
        <v/>
      </c>
      <c r="L23" s="150">
        <f>SUM(L6:L22)</f>
        <v/>
      </c>
      <c r="M23" s="150">
        <f>SUM(M6:M22)</f>
        <v/>
      </c>
      <c r="N23" s="150" t="inlineStr">
        <is>
          <t>70 Own / 16 Lease</t>
        </is>
      </c>
      <c r="O23" s="151" t="inlineStr">
        <is>
          <t>86 Active Units (84 Baseline Quota -&gt; Net +11 Gross Exceed Units)</t>
        </is>
      </c>
    </row>
    <row r="25" ht="24" customHeight="1" s="63">
      <c r="A25" s="128" t="inlineStr">
        <is>
          <t>TABLE 2: ITEMIZED ACTIVE PERSONNEL DEVICE ROSTER &amp; 2019 HISTORICAL TRACING</t>
        </is>
      </c>
    </row>
    <row r="26" ht="24" customHeight="1" s="63">
      <c r="A26" s="129" t="inlineStr">
        <is>
          <t>No.</t>
        </is>
      </c>
      <c r="B26" s="130" t="inlineStr">
        <is>
          <t>Department</t>
        </is>
      </c>
      <c r="C26" s="130" t="inlineStr">
        <is>
          <t>Section</t>
        </is>
      </c>
      <c r="D26" s="130" t="inlineStr">
        <is>
          <t>Employee / Station Name</t>
        </is>
      </c>
      <c r="E26" s="129" t="inlineStr">
        <is>
          <t>Staff ID</t>
        </is>
      </c>
      <c r="F26" s="130" t="inlineStr">
        <is>
          <t>Username</t>
        </is>
      </c>
      <c r="G26" s="129" t="inlineStr">
        <is>
          <t>Category / Role</t>
        </is>
      </c>
      <c r="H26" s="154" t="inlineStr">
        <is>
          <t>Device Model</t>
        </is>
      </c>
      <c r="I26" s="154" t="inlineStr">
        <is>
          <t>Asset Tag</t>
        </is>
      </c>
      <c r="J26" s="131" t="inlineStr">
        <is>
          <t>Brand</t>
        </is>
      </c>
      <c r="K26" s="131" t="inlineStr">
        <is>
          <t>Ownership Status</t>
        </is>
      </c>
      <c r="L26" s="129" t="inlineStr">
        <is>
          <t>Verified Join Date</t>
        </is>
      </c>
      <c r="M26" s="129" t="inlineStr">
        <is>
          <t>2019 Baseline Status</t>
        </is>
      </c>
      <c r="N26" s="155" t="inlineStr">
        <is>
          <t>2019 Asset Tag / Device</t>
        </is>
      </c>
      <c r="O26" s="130" t="inlineStr">
        <is>
          <t>Remarks / Device Notes</t>
        </is>
      </c>
    </row>
    <row r="27" ht="20" customHeight="1" s="63">
      <c r="A27" s="156" t="inlineStr">
        <is>
          <t>■ ACCOUNT &amp; FINANCE (4 Active Units: 4 Owned, 0 Leased)</t>
        </is>
      </c>
      <c r="B27" s="157" t="n"/>
      <c r="C27" s="157" t="n"/>
      <c r="D27" s="157" t="n"/>
      <c r="E27" s="157" t="n"/>
      <c r="F27" s="157" t="n"/>
      <c r="G27" s="157" t="n"/>
      <c r="H27" s="157" t="n"/>
      <c r="I27" s="157" t="n"/>
      <c r="J27" s="157" t="n"/>
      <c r="K27" s="157" t="n"/>
      <c r="L27" s="157" t="n"/>
      <c r="M27" s="157" t="n"/>
      <c r="N27" s="157" t="n"/>
      <c r="O27" s="157" t="n"/>
    </row>
    <row r="28" ht="19" customHeight="1" s="63">
      <c r="A28" s="134" t="n">
        <v>1</v>
      </c>
      <c r="B28" s="136" t="inlineStr">
        <is>
          <t>Account &amp; Finance</t>
        </is>
      </c>
      <c r="C28" s="136" t="inlineStr">
        <is>
          <t>-</t>
        </is>
      </c>
      <c r="D28" s="135" t="inlineStr">
        <is>
          <t>Azly Jaludian</t>
        </is>
      </c>
      <c r="E28" s="134" t="inlineStr">
        <is>
          <t>JKS0283</t>
        </is>
      </c>
      <c r="F28" s="136" t="inlineStr">
        <is>
          <t>azly.jaludian</t>
        </is>
      </c>
      <c r="G28" s="134" t="inlineStr">
        <is>
          <t>Tier 5: Standard Staff</t>
        </is>
      </c>
      <c r="H28" s="136" t="inlineStr">
        <is>
          <t>Latitude 5520</t>
        </is>
      </c>
      <c r="I28" s="135" t="inlineStr">
        <is>
          <t>JKS-IT-2512-323</t>
        </is>
      </c>
      <c r="J28" s="134" t="inlineStr">
        <is>
          <t>Dell</t>
        </is>
      </c>
      <c r="K28" s="158" t="inlineStr">
        <is>
          <t>Owned (deployed)</t>
        </is>
      </c>
      <c r="L28" s="134" t="inlineStr">
        <is>
          <t>2008-10-06</t>
        </is>
      </c>
      <c r="M28" s="137" t="inlineStr">
        <is>
          <t>In 2019 Baseline</t>
        </is>
      </c>
      <c r="N28" s="159" t="n"/>
      <c r="O28" s="136" t="inlineStr"/>
    </row>
    <row r="29" ht="19" customHeight="1" s="63">
      <c r="A29" s="141" t="n">
        <v>2</v>
      </c>
      <c r="B29" s="143" t="inlineStr">
        <is>
          <t>Account &amp; Finance</t>
        </is>
      </c>
      <c r="C29" s="143" t="inlineStr">
        <is>
          <t>-</t>
        </is>
      </c>
      <c r="D29" s="142" t="inlineStr">
        <is>
          <t>Lau Whee Ling</t>
        </is>
      </c>
      <c r="E29" s="141" t="inlineStr">
        <is>
          <t>JKS0003</t>
        </is>
      </c>
      <c r="F29" s="143" t="inlineStr">
        <is>
          <t>lwl</t>
        </is>
      </c>
      <c r="G29" s="141" t="inlineStr">
        <is>
          <t>Tier 1: HOD / Director</t>
        </is>
      </c>
      <c r="H29" s="143" t="inlineStr">
        <is>
          <t>Spectre X360</t>
        </is>
      </c>
      <c r="I29" s="142" t="inlineStr">
        <is>
          <t>LAP-101</t>
        </is>
      </c>
      <c r="J29" s="141" t="inlineStr">
        <is>
          <t>HP</t>
        </is>
      </c>
      <c r="K29" s="158" t="inlineStr">
        <is>
          <t>Owned (deployed)</t>
        </is>
      </c>
      <c r="L29" s="141" t="inlineStr">
        <is>
          <t>2000-03-13</t>
        </is>
      </c>
      <c r="M29" s="144" t="inlineStr">
        <is>
          <t>In 2019 Baseline</t>
        </is>
      </c>
      <c r="N29" s="159" t="n"/>
      <c r="O29" s="143" t="inlineStr"/>
    </row>
    <row r="30" ht="19" customHeight="1" s="63">
      <c r="A30" s="134" t="n">
        <v>3</v>
      </c>
      <c r="B30" s="136" t="inlineStr">
        <is>
          <t>Account &amp; Finance</t>
        </is>
      </c>
      <c r="C30" s="136" t="inlineStr">
        <is>
          <t>-</t>
        </is>
      </c>
      <c r="D30" s="135" t="inlineStr">
        <is>
          <t>Tan Pei Fang</t>
        </is>
      </c>
      <c r="E30" s="134" t="inlineStr">
        <is>
          <t>JKS0974</t>
        </is>
      </c>
      <c r="F30" s="136" t="inlineStr">
        <is>
          <t>peifang.tan</t>
        </is>
      </c>
      <c r="G30" s="134" t="inlineStr">
        <is>
          <t>Tier 5: Standard Staff</t>
        </is>
      </c>
      <c r="H30" s="136" t="inlineStr">
        <is>
          <t>Latitude 5520</t>
        </is>
      </c>
      <c r="I30" s="135" t="inlineStr">
        <is>
          <t>JKS-IT-2512-326</t>
        </is>
      </c>
      <c r="J30" s="134" t="inlineStr">
        <is>
          <t>Dell</t>
        </is>
      </c>
      <c r="K30" s="158" t="inlineStr">
        <is>
          <t>Owned (deployed)</t>
        </is>
      </c>
      <c r="L30" s="134" t="inlineStr">
        <is>
          <t>2024-02-27</t>
        </is>
      </c>
      <c r="M30" s="160" t="inlineStr">
        <is>
          <t>Post-2019 Hire (2024)</t>
        </is>
      </c>
      <c r="N30" s="159" t="n"/>
      <c r="O30" s="136" t="inlineStr"/>
    </row>
    <row r="31" ht="19" customHeight="1" s="63">
      <c r="A31" s="141" t="n">
        <v>4</v>
      </c>
      <c r="B31" s="143" t="inlineStr">
        <is>
          <t>Account &amp; Finance</t>
        </is>
      </c>
      <c r="C31" s="143" t="inlineStr">
        <is>
          <t>-</t>
        </is>
      </c>
      <c r="D31" s="142" t="inlineStr">
        <is>
          <t>Thay Wee Koon</t>
        </is>
      </c>
      <c r="E31" s="141" t="inlineStr">
        <is>
          <t>JKS0911</t>
        </is>
      </c>
      <c r="F31" s="143" t="inlineStr">
        <is>
          <t>weekoon.thay</t>
        </is>
      </c>
      <c r="G31" s="141" t="inlineStr">
        <is>
          <t>Tier 4: Managerial / BD / TC</t>
        </is>
      </c>
      <c r="H31" s="143" t="inlineStr">
        <is>
          <t>Latitude 5520</t>
        </is>
      </c>
      <c r="I31" s="142" t="inlineStr">
        <is>
          <t>JKS-IT-2512-322</t>
        </is>
      </c>
      <c r="J31" s="141" t="inlineStr">
        <is>
          <t>Dell</t>
        </is>
      </c>
      <c r="K31" s="158" t="inlineStr">
        <is>
          <t>Owned (deployed)</t>
        </is>
      </c>
      <c r="L31" s="141" t="inlineStr">
        <is>
          <t>2021-08-09</t>
        </is>
      </c>
      <c r="M31" s="161" t="inlineStr">
        <is>
          <t>Post-2019 Hire (2021)</t>
        </is>
      </c>
      <c r="N31" s="159" t="n"/>
      <c r="O31" s="143" t="inlineStr"/>
    </row>
    <row r="32" ht="20" customHeight="1" s="63">
      <c r="A32" s="156" t="inlineStr">
        <is>
          <t>■ AFTER SALES (12 Active Units: 12 Owned, 0 Leased)</t>
        </is>
      </c>
      <c r="B32" s="157" t="n"/>
      <c r="C32" s="157" t="n"/>
      <c r="D32" s="157" t="n"/>
      <c r="E32" s="157" t="n"/>
      <c r="F32" s="157" t="n"/>
      <c r="G32" s="157" t="n"/>
      <c r="H32" s="157" t="n"/>
      <c r="I32" s="157" t="n"/>
      <c r="J32" s="157" t="n"/>
      <c r="K32" s="157" t="n"/>
      <c r="L32" s="157" t="n"/>
      <c r="M32" s="157" t="n"/>
      <c r="N32" s="157" t="n"/>
      <c r="O32" s="157" t="n"/>
    </row>
    <row r="33" ht="19" customHeight="1" s="63">
      <c r="A33" s="134" t="n">
        <v>5</v>
      </c>
      <c r="B33" s="136" t="inlineStr">
        <is>
          <t>After Sales</t>
        </is>
      </c>
      <c r="C33" s="136" t="inlineStr">
        <is>
          <t>-</t>
        </is>
      </c>
      <c r="D33" s="135" t="inlineStr">
        <is>
          <t>Aiman Hamizan Tuan Rusli</t>
        </is>
      </c>
      <c r="E33" s="134" t="inlineStr">
        <is>
          <t>JKS0995</t>
        </is>
      </c>
      <c r="F33" s="136" t="inlineStr">
        <is>
          <t>aiman.rusli</t>
        </is>
      </c>
      <c r="G33" s="134" t="inlineStr">
        <is>
          <t>Tier 5: Standard Staff</t>
        </is>
      </c>
      <c r="H33" s="136" t="inlineStr">
        <is>
          <t>E7270</t>
        </is>
      </c>
      <c r="I33" s="135" t="inlineStr">
        <is>
          <t>DESKTOP-9AQ7JDE</t>
        </is>
      </c>
      <c r="J33" s="134" t="inlineStr">
        <is>
          <t>Dell</t>
        </is>
      </c>
      <c r="K33" s="158" t="inlineStr">
        <is>
          <t>Owned (deployed)</t>
        </is>
      </c>
      <c r="L33" s="134" t="inlineStr">
        <is>
          <t>2025-10-20</t>
        </is>
      </c>
      <c r="M33" s="160" t="inlineStr">
        <is>
          <t>Post-2019 Hire (2025)</t>
        </is>
      </c>
      <c r="N33" s="159" t="n"/>
      <c r="O33" s="136" t="inlineStr"/>
    </row>
    <row r="34" ht="19" customHeight="1" s="63">
      <c r="A34" s="141" t="n">
        <v>6</v>
      </c>
      <c r="B34" s="143" t="inlineStr">
        <is>
          <t>After Sales</t>
        </is>
      </c>
      <c r="C34" s="143" t="inlineStr">
        <is>
          <t>-</t>
        </is>
      </c>
      <c r="D34" s="142" t="inlineStr">
        <is>
          <t>Ooi Ee Wan</t>
        </is>
      </c>
      <c r="E34" s="141" t="inlineStr">
        <is>
          <t>JKS0309</t>
        </is>
      </c>
      <c r="F34" s="143" t="inlineStr">
        <is>
          <t>eewan.ooi</t>
        </is>
      </c>
      <c r="G34" s="141" t="inlineStr">
        <is>
          <t>Tier 2: Designer / R&amp;D Workstation</t>
        </is>
      </c>
      <c r="H34" s="143" t="inlineStr">
        <is>
          <t>P14s</t>
        </is>
      </c>
      <c r="I34" s="142" t="inlineStr">
        <is>
          <t>LAP2112W60011</t>
        </is>
      </c>
      <c r="J34" s="141" t="inlineStr">
        <is>
          <t>Lenovo</t>
        </is>
      </c>
      <c r="K34" s="158" t="inlineStr">
        <is>
          <t>Owned (deployed)</t>
        </is>
      </c>
      <c r="L34" s="141" t="inlineStr">
        <is>
          <t>2020-05-18</t>
        </is>
      </c>
      <c r="M34" s="161" t="inlineStr">
        <is>
          <t>Post-2019 Hire (2020)</t>
        </is>
      </c>
      <c r="N34" s="159" t="n"/>
      <c r="O34" s="143" t="inlineStr"/>
    </row>
    <row r="35" ht="19" customHeight="1" s="63">
      <c r="A35" s="134" t="n">
        <v>7</v>
      </c>
      <c r="B35" s="136" t="inlineStr">
        <is>
          <t>After Sales</t>
        </is>
      </c>
      <c r="C35" s="136" t="inlineStr">
        <is>
          <t>-</t>
        </is>
      </c>
      <c r="D35" s="135" t="inlineStr">
        <is>
          <t>Fadzli Khalib</t>
        </is>
      </c>
      <c r="E35" s="134" t="inlineStr">
        <is>
          <t>JKS0211</t>
        </is>
      </c>
      <c r="F35" s="136" t="inlineStr">
        <is>
          <t>fadzli.khalib</t>
        </is>
      </c>
      <c r="G35" s="134" t="inlineStr">
        <is>
          <t>Tier 4: Managerial / BD / TC</t>
        </is>
      </c>
      <c r="H35" s="136" t="inlineStr">
        <is>
          <t>E7270</t>
        </is>
      </c>
      <c r="I35" s="135" t="inlineStr">
        <is>
          <t>DESKTOP-AFSJJH3</t>
        </is>
      </c>
      <c r="J35" s="134" t="inlineStr">
        <is>
          <t>Dell</t>
        </is>
      </c>
      <c r="K35" s="158" t="inlineStr">
        <is>
          <t>Owned (deployed)</t>
        </is>
      </c>
      <c r="L35" s="134" t="inlineStr">
        <is>
          <t>2019-03-04</t>
        </is>
      </c>
      <c r="M35" s="137" t="inlineStr">
        <is>
          <t>In 2019 Baseline</t>
        </is>
      </c>
      <c r="N35" s="159" t="n"/>
      <c r="O35" s="136" t="inlineStr"/>
    </row>
    <row r="36" ht="19" customHeight="1" s="63">
      <c r="A36" s="141" t="n">
        <v>8</v>
      </c>
      <c r="B36" s="143" t="inlineStr">
        <is>
          <t>After Sales</t>
        </is>
      </c>
      <c r="C36" s="143" t="inlineStr">
        <is>
          <t>-</t>
        </is>
      </c>
      <c r="D36" s="142" t="inlineStr">
        <is>
          <t>Hazmi Yusof</t>
        </is>
      </c>
      <c r="E36" s="141" t="inlineStr">
        <is>
          <t>JKS0949</t>
        </is>
      </c>
      <c r="F36" s="143" t="inlineStr">
        <is>
          <t>hazmi.yusof</t>
        </is>
      </c>
      <c r="G36" s="141" t="inlineStr">
        <is>
          <t>Tier 5: Standard Staff</t>
        </is>
      </c>
      <c r="H36" s="143" t="inlineStr">
        <is>
          <t>E7270</t>
        </is>
      </c>
      <c r="I36" s="142" t="inlineStr">
        <is>
          <t>DESKTOP-QDKEVKQ</t>
        </is>
      </c>
      <c r="J36" s="141" t="inlineStr">
        <is>
          <t>Dell</t>
        </is>
      </c>
      <c r="K36" s="158" t="inlineStr">
        <is>
          <t>Owned (deployed)</t>
        </is>
      </c>
      <c r="L36" s="141" t="inlineStr">
        <is>
          <t>2023-03-20</t>
        </is>
      </c>
      <c r="M36" s="161" t="inlineStr">
        <is>
          <t>Post-2019 Hire (2023)</t>
        </is>
      </c>
      <c r="N36" s="159" t="n"/>
      <c r="O36" s="143" t="inlineStr"/>
    </row>
    <row r="37" ht="19" customHeight="1" s="63">
      <c r="A37" s="134" t="n">
        <v>9</v>
      </c>
      <c r="B37" s="136" t="inlineStr">
        <is>
          <t>After Sales</t>
        </is>
      </c>
      <c r="C37" s="136" t="inlineStr">
        <is>
          <t>-</t>
        </is>
      </c>
      <c r="D37" s="135" t="inlineStr">
        <is>
          <t>Sulaiman Baharom</t>
        </is>
      </c>
      <c r="E37" s="134" t="inlineStr">
        <is>
          <t>JKS0919</t>
        </is>
      </c>
      <c r="F37" s="136" t="inlineStr">
        <is>
          <t>sulaiman.baharom</t>
        </is>
      </c>
      <c r="G37" s="134" t="inlineStr">
        <is>
          <t>Tier 5: Standard Staff</t>
        </is>
      </c>
      <c r="H37" s="136" t="inlineStr">
        <is>
          <t>E7270</t>
        </is>
      </c>
      <c r="I37" s="135" t="inlineStr">
        <is>
          <t>DESKTOP-7QQG32Q</t>
        </is>
      </c>
      <c r="J37" s="134" t="inlineStr">
        <is>
          <t>Dell</t>
        </is>
      </c>
      <c r="K37" s="158" t="inlineStr">
        <is>
          <t>Owned (deployed)</t>
        </is>
      </c>
      <c r="L37" s="134" t="inlineStr">
        <is>
          <t>2021-12-06</t>
        </is>
      </c>
      <c r="M37" s="160" t="inlineStr">
        <is>
          <t>Post-2019 Hire (2021)</t>
        </is>
      </c>
      <c r="N37" s="159" t="n"/>
      <c r="O37" s="136" t="inlineStr"/>
    </row>
    <row r="38" ht="19" customHeight="1" s="63">
      <c r="A38" s="141" t="n">
        <v>10</v>
      </c>
      <c r="B38" s="143" t="inlineStr">
        <is>
          <t>After Sales</t>
        </is>
      </c>
      <c r="C38" s="143" t="inlineStr">
        <is>
          <t>-</t>
        </is>
      </c>
      <c r="D38" s="142" t="inlineStr">
        <is>
          <t>Tan Zhang Zhu</t>
        </is>
      </c>
      <c r="E38" s="141" t="inlineStr">
        <is>
          <t>JKS0985</t>
        </is>
      </c>
      <c r="F38" s="143" t="inlineStr">
        <is>
          <t>zhangzhu.tan</t>
        </is>
      </c>
      <c r="G38" s="141" t="inlineStr">
        <is>
          <t>Tier 5: Standard Staff</t>
        </is>
      </c>
      <c r="H38" s="143" t="inlineStr">
        <is>
          <t>L15</t>
        </is>
      </c>
      <c r="I38" s="142" t="inlineStr">
        <is>
          <t>LAP2112W36010</t>
        </is>
      </c>
      <c r="J38" s="141" t="inlineStr">
        <is>
          <t>Lenovo</t>
        </is>
      </c>
      <c r="K38" s="158" t="inlineStr">
        <is>
          <t>Owned (deployed)</t>
        </is>
      </c>
      <c r="L38" s="141" t="inlineStr">
        <is>
          <t>2025-04-15</t>
        </is>
      </c>
      <c r="M38" s="161" t="inlineStr">
        <is>
          <t>Post-2019 Hire (2025)</t>
        </is>
      </c>
      <c r="N38" s="159" t="n"/>
      <c r="O38" s="143" t="inlineStr"/>
    </row>
    <row r="39" ht="19" customHeight="1" s="63">
      <c r="A39" s="134" t="n">
        <v>11</v>
      </c>
      <c r="B39" s="136" t="inlineStr">
        <is>
          <t>After Sales</t>
        </is>
      </c>
      <c r="C39" s="136" t="inlineStr">
        <is>
          <t>-</t>
        </is>
      </c>
      <c r="D39" s="135" t="inlineStr">
        <is>
          <t>Zaki Ayub</t>
        </is>
      </c>
      <c r="E39" s="134" t="inlineStr">
        <is>
          <t>JKS0677</t>
        </is>
      </c>
      <c r="F39" s="136" t="inlineStr">
        <is>
          <t>zky</t>
        </is>
      </c>
      <c r="G39" s="134" t="inlineStr">
        <is>
          <t>Tier 5: Standard Staff</t>
        </is>
      </c>
      <c r="H39" s="136" t="inlineStr">
        <is>
          <t>E7270</t>
        </is>
      </c>
      <c r="I39" s="135" t="inlineStr">
        <is>
          <t>DESKTOP-C8OC247</t>
        </is>
      </c>
      <c r="J39" s="134" t="inlineStr">
        <is>
          <t>Dell</t>
        </is>
      </c>
      <c r="K39" s="158" t="inlineStr">
        <is>
          <t>Owned (deployed)</t>
        </is>
      </c>
      <c r="L39" s="134" t="inlineStr">
        <is>
          <t>2015-04-06</t>
        </is>
      </c>
      <c r="M39" s="137" t="inlineStr">
        <is>
          <t>In 2019 Baseline</t>
        </is>
      </c>
      <c r="N39" s="159" t="n"/>
      <c r="O39" s="136" t="inlineStr"/>
    </row>
    <row r="40" ht="19" customHeight="1" s="63">
      <c r="A40" s="141" t="n">
        <v>12</v>
      </c>
      <c r="B40" s="143" t="inlineStr">
        <is>
          <t>After Sales</t>
        </is>
      </c>
      <c r="C40" s="143" t="inlineStr">
        <is>
          <t>-</t>
        </is>
      </c>
      <c r="D40" s="142" t="inlineStr">
        <is>
          <t>Hakimi Halim</t>
        </is>
      </c>
      <c r="E40" s="141" t="inlineStr">
        <is>
          <t>JKS1007</t>
        </is>
      </c>
      <c r="F40" s="143" t="inlineStr">
        <is>
          <t>hakimi.halim</t>
        </is>
      </c>
      <c r="G40" s="141" t="inlineStr">
        <is>
          <t>Tier 4: Managerial / BD / TC</t>
        </is>
      </c>
      <c r="H40" s="143" t="inlineStr">
        <is>
          <t>Latitude 7320</t>
        </is>
      </c>
      <c r="I40" s="142" t="inlineStr">
        <is>
          <t>JKS-IT-2602-329</t>
        </is>
      </c>
      <c r="J40" s="141" t="inlineStr">
        <is>
          <t>Dell</t>
        </is>
      </c>
      <c r="K40" s="158" t="inlineStr">
        <is>
          <t>Owned (deployed)</t>
        </is>
      </c>
      <c r="L40" s="141" t="inlineStr">
        <is>
          <t>2026-03-30</t>
        </is>
      </c>
      <c r="M40" s="161" t="inlineStr">
        <is>
          <t>Post-2019 Hire (2026)</t>
        </is>
      </c>
      <c r="N40" s="159" t="n"/>
      <c r="O40" s="143" t="inlineStr"/>
    </row>
    <row r="41" ht="19" customHeight="1" s="63">
      <c r="A41" s="134" t="n">
        <v>13</v>
      </c>
      <c r="B41" s="136" t="inlineStr">
        <is>
          <t>After Sales</t>
        </is>
      </c>
      <c r="C41" s="136" t="inlineStr">
        <is>
          <t>-</t>
        </is>
      </c>
      <c r="D41" s="135" t="inlineStr">
        <is>
          <t>Norliyana Khairudin</t>
        </is>
      </c>
      <c r="E41" s="134" t="inlineStr">
        <is>
          <t>JKS0800</t>
        </is>
      </c>
      <c r="F41" s="136" t="inlineStr">
        <is>
          <t>norliyana.khairudin</t>
        </is>
      </c>
      <c r="G41" s="134" t="inlineStr">
        <is>
          <t>Tier 5: Standard Staff</t>
        </is>
      </c>
      <c r="H41" s="136" t="inlineStr">
        <is>
          <t>2020 13"</t>
        </is>
      </c>
      <c r="I41" s="135" t="inlineStr">
        <is>
          <t>JKS-IT-2308-214</t>
        </is>
      </c>
      <c r="J41" s="134" t="inlineStr">
        <is>
          <t>Apple</t>
        </is>
      </c>
      <c r="K41" s="158" t="inlineStr">
        <is>
          <t>Owned (deployed)</t>
        </is>
      </c>
      <c r="L41" s="134" t="inlineStr">
        <is>
          <t>Pre-2019</t>
        </is>
      </c>
      <c r="M41" s="137" t="inlineStr">
        <is>
          <t>In 2019 Baseline</t>
        </is>
      </c>
      <c r="N41" s="159" t="n"/>
      <c r="O41" s="136" t="inlineStr"/>
    </row>
    <row r="42" ht="19" customHeight="1" s="63">
      <c r="A42" s="141" t="n">
        <v>14</v>
      </c>
      <c r="B42" s="143" t="inlineStr">
        <is>
          <t>After Sales</t>
        </is>
      </c>
      <c r="C42" s="143" t="inlineStr">
        <is>
          <t>-</t>
        </is>
      </c>
      <c r="D42" s="142" t="inlineStr">
        <is>
          <t>Sholehan Samin</t>
        </is>
      </c>
      <c r="E42" s="141" t="inlineStr">
        <is>
          <t>JKS1006</t>
        </is>
      </c>
      <c r="F42" s="143" t="inlineStr">
        <is>
          <t>sholehan.samin</t>
        </is>
      </c>
      <c r="G42" s="141" t="inlineStr">
        <is>
          <t>Tier 4: Managerial / BD / TC</t>
        </is>
      </c>
      <c r="H42" s="143" t="inlineStr">
        <is>
          <t>Latitude 7320</t>
        </is>
      </c>
      <c r="I42" s="142" t="inlineStr">
        <is>
          <t>DESKTOP-RV4KU0R</t>
        </is>
      </c>
      <c r="J42" s="141" t="inlineStr">
        <is>
          <t>Dell</t>
        </is>
      </c>
      <c r="K42" s="158" t="inlineStr">
        <is>
          <t>Owned (deployed)</t>
        </is>
      </c>
      <c r="L42" s="141" t="inlineStr">
        <is>
          <t>2026-03-30</t>
        </is>
      </c>
      <c r="M42" s="161" t="inlineStr">
        <is>
          <t>Post-2019 Hire (2026)</t>
        </is>
      </c>
      <c r="N42" s="159" t="n"/>
      <c r="O42" s="143" t="inlineStr"/>
    </row>
    <row r="43" ht="19" customHeight="1" s="63">
      <c r="A43" s="134" t="n">
        <v>15</v>
      </c>
      <c r="B43" s="136" t="inlineStr">
        <is>
          <t>After Sales</t>
        </is>
      </c>
      <c r="C43" s="136" t="inlineStr">
        <is>
          <t>-</t>
        </is>
      </c>
      <c r="D43" s="135" t="inlineStr">
        <is>
          <t>Alex Wee</t>
        </is>
      </c>
      <c r="E43" s="134" t="inlineStr">
        <is>
          <t>-</t>
        </is>
      </c>
      <c r="F43" s="136" t="inlineStr">
        <is>
          <t>alex.wee</t>
        </is>
      </c>
      <c r="G43" s="134" t="inlineStr">
        <is>
          <t>Tier 4: Managerial / BD / TC</t>
        </is>
      </c>
      <c r="H43" s="136" t="inlineStr">
        <is>
          <t>2020 13"</t>
        </is>
      </c>
      <c r="I43" s="135" t="inlineStr">
        <is>
          <t>LAP2304W12001</t>
        </is>
      </c>
      <c r="J43" s="134" t="inlineStr">
        <is>
          <t>Apple</t>
        </is>
      </c>
      <c r="K43" s="158" t="inlineStr">
        <is>
          <t>Owned (deployed)</t>
        </is>
      </c>
      <c r="L43" s="134" t="inlineStr">
        <is>
          <t>Active (Unverified)</t>
        </is>
      </c>
      <c r="M43" s="160" t="inlineStr">
        <is>
          <t>Post-2019 Hire (Recent)</t>
        </is>
      </c>
      <c r="N43" s="159" t="n"/>
      <c r="O43" s="136" t="inlineStr"/>
    </row>
    <row r="44" ht="19" customHeight="1" s="63">
      <c r="A44" s="141" t="n">
        <v>16</v>
      </c>
      <c r="B44" s="143" t="inlineStr">
        <is>
          <t>After Sales</t>
        </is>
      </c>
      <c r="C44" s="143" t="inlineStr">
        <is>
          <t>-</t>
        </is>
      </c>
      <c r="D44" s="142" t="inlineStr">
        <is>
          <t>Ng Kheng Teik</t>
        </is>
      </c>
      <c r="E44" s="141" t="inlineStr">
        <is>
          <t>-</t>
        </is>
      </c>
      <c r="F44" s="143" t="inlineStr">
        <is>
          <t>khengteik.ng</t>
        </is>
      </c>
      <c r="G44" s="141" t="inlineStr">
        <is>
          <t>Tier 4: Managerial / BD / TC</t>
        </is>
      </c>
      <c r="H44" s="143" t="inlineStr">
        <is>
          <t>Latitude 7320</t>
        </is>
      </c>
      <c r="I44" s="142" t="inlineStr">
        <is>
          <t>JKS-IT-2602-328</t>
        </is>
      </c>
      <c r="J44" s="141" t="inlineStr">
        <is>
          <t>Dell</t>
        </is>
      </c>
      <c r="K44" s="158" t="inlineStr">
        <is>
          <t>Owned (deployed)</t>
        </is>
      </c>
      <c r="L44" s="141" t="inlineStr">
        <is>
          <t>Active (Unverified)</t>
        </is>
      </c>
      <c r="M44" s="161" t="inlineStr">
        <is>
          <t>Post-2019 Hire (Recent)</t>
        </is>
      </c>
      <c r="N44" s="159" t="n"/>
      <c r="O44" s="143" t="inlineStr"/>
    </row>
    <row r="45" ht="20" customHeight="1" s="63">
      <c r="A45" s="156" t="inlineStr">
        <is>
          <t>■ MANUFACTURING - AUTOMATION (8 Active Units: 7 Owned, 1 Leased)</t>
        </is>
      </c>
      <c r="B45" s="157" t="n"/>
      <c r="C45" s="157" t="n"/>
      <c r="D45" s="157" t="n"/>
      <c r="E45" s="157" t="n"/>
      <c r="F45" s="157" t="n"/>
      <c r="G45" s="157" t="n"/>
      <c r="H45" s="157" t="n"/>
      <c r="I45" s="157" t="n"/>
      <c r="J45" s="157" t="n"/>
      <c r="K45" s="157" t="n"/>
      <c r="L45" s="157" t="n"/>
      <c r="M45" s="157" t="n"/>
      <c r="N45" s="157" t="n"/>
      <c r="O45" s="157" t="n"/>
    </row>
    <row r="46" ht="19" customHeight="1" s="63">
      <c r="A46" s="134" t="n">
        <v>17</v>
      </c>
      <c r="B46" s="136" t="inlineStr">
        <is>
          <t>Manufacturing</t>
        </is>
      </c>
      <c r="C46" s="136" t="inlineStr">
        <is>
          <t>Automation</t>
        </is>
      </c>
      <c r="D46" s="135" t="inlineStr">
        <is>
          <t>Abdullah Fauzi</t>
        </is>
      </c>
      <c r="E46" s="134" t="inlineStr">
        <is>
          <t>JKS1005</t>
        </is>
      </c>
      <c r="F46" s="136" t="inlineStr">
        <is>
          <t>abdullah.fauzi</t>
        </is>
      </c>
      <c r="G46" s="134" t="inlineStr">
        <is>
          <t>Tier 3: Automation / IT Dev</t>
        </is>
      </c>
      <c r="H46" s="136" t="inlineStr">
        <is>
          <t>Latitude 7320</t>
        </is>
      </c>
      <c r="I46" s="135" t="inlineStr">
        <is>
          <t>DESKTOP-CV8VEUN</t>
        </is>
      </c>
      <c r="J46" s="134" t="inlineStr">
        <is>
          <t>Dell</t>
        </is>
      </c>
      <c r="K46" s="158" t="inlineStr">
        <is>
          <t>Owned (deployed)</t>
        </is>
      </c>
      <c r="L46" s="134" t="inlineStr">
        <is>
          <t>2026-03-30</t>
        </is>
      </c>
      <c r="M46" s="160" t="inlineStr">
        <is>
          <t>Post-2019 Hire (2026)</t>
        </is>
      </c>
      <c r="N46" s="159" t="n"/>
      <c r="O46" s="136" t="inlineStr"/>
    </row>
    <row r="47" ht="19" customHeight="1" s="63">
      <c r="A47" s="141" t="n">
        <v>18</v>
      </c>
      <c r="B47" s="143" t="inlineStr">
        <is>
          <t>Manufacturing</t>
        </is>
      </c>
      <c r="C47" s="143" t="inlineStr">
        <is>
          <t>Automation</t>
        </is>
      </c>
      <c r="D47" s="142" t="inlineStr">
        <is>
          <t>Hanis Zulhairi</t>
        </is>
      </c>
      <c r="E47" s="141" t="inlineStr">
        <is>
          <t>-</t>
        </is>
      </c>
      <c r="F47" s="143" t="inlineStr">
        <is>
          <t>hanis.zulhairi</t>
        </is>
      </c>
      <c r="G47" s="141" t="inlineStr">
        <is>
          <t>Tier 2: Designer / R&amp;D Workstation</t>
        </is>
      </c>
      <c r="H47" s="143" t="inlineStr">
        <is>
          <t>P14s</t>
        </is>
      </c>
      <c r="I47" s="142" t="inlineStr">
        <is>
          <t>LAP2112W60010</t>
        </is>
      </c>
      <c r="J47" s="141" t="inlineStr">
        <is>
          <t>Lenovo</t>
        </is>
      </c>
      <c r="K47" s="158" t="inlineStr">
        <is>
          <t>Owned (deployed)</t>
        </is>
      </c>
      <c r="L47" s="141" t="inlineStr">
        <is>
          <t>Active (Unverified)</t>
        </is>
      </c>
      <c r="M47" s="161" t="inlineStr">
        <is>
          <t>Post-2019 Hire (Recent)</t>
        </is>
      </c>
      <c r="N47" s="159" t="n"/>
      <c r="O47" s="143" t="inlineStr"/>
    </row>
    <row r="48" ht="19" customHeight="1" s="63">
      <c r="A48" s="134" t="n">
        <v>19</v>
      </c>
      <c r="B48" s="136" t="inlineStr">
        <is>
          <t>Manufacturing</t>
        </is>
      </c>
      <c r="C48" s="136" t="inlineStr">
        <is>
          <t>Automation</t>
        </is>
      </c>
      <c r="D48" s="135" t="inlineStr">
        <is>
          <t>Ho Kar Wye</t>
        </is>
      </c>
      <c r="E48" s="134" t="inlineStr">
        <is>
          <t>JKS0871</t>
        </is>
      </c>
      <c r="F48" s="136" t="inlineStr">
        <is>
          <t>karwye.ho</t>
        </is>
      </c>
      <c r="G48" s="134" t="inlineStr">
        <is>
          <t>Tier 3: Automation / IT Dev</t>
        </is>
      </c>
      <c r="H48" s="136" t="inlineStr">
        <is>
          <t>L15</t>
        </is>
      </c>
      <c r="I48" s="135" t="inlineStr">
        <is>
          <t>LAP2112W36005</t>
        </is>
      </c>
      <c r="J48" s="134" t="inlineStr">
        <is>
          <t>Lenovo</t>
        </is>
      </c>
      <c r="K48" s="158" t="inlineStr">
        <is>
          <t>Owned (deployed)</t>
        </is>
      </c>
      <c r="L48" s="134" t="inlineStr">
        <is>
          <t>2019-09-10</t>
        </is>
      </c>
      <c r="M48" s="137" t="inlineStr">
        <is>
          <t>In 2019 Baseline</t>
        </is>
      </c>
      <c r="N48" s="159" t="n"/>
      <c r="O48" s="136" t="inlineStr"/>
    </row>
    <row r="49" ht="19" customHeight="1" s="63">
      <c r="A49" s="141" t="n">
        <v>20</v>
      </c>
      <c r="B49" s="143" t="inlineStr">
        <is>
          <t>Manufacturing</t>
        </is>
      </c>
      <c r="C49" s="143" t="inlineStr">
        <is>
          <t>Automation</t>
        </is>
      </c>
      <c r="D49" s="142" t="inlineStr">
        <is>
          <t>Ho Kar Wye</t>
        </is>
      </c>
      <c r="E49" s="141" t="inlineStr">
        <is>
          <t>JKS0871</t>
        </is>
      </c>
      <c r="F49" s="143" t="inlineStr">
        <is>
          <t>karwye.ho</t>
        </is>
      </c>
      <c r="G49" s="141" t="inlineStr">
        <is>
          <t>Tier 3: Automation / IT Dev</t>
        </is>
      </c>
      <c r="H49" s="143" t="inlineStr">
        <is>
          <t>M4 13"</t>
        </is>
      </c>
      <c r="I49" s="142" t="inlineStr">
        <is>
          <t>JKS-IT-2509-317</t>
        </is>
      </c>
      <c r="J49" s="141" t="inlineStr">
        <is>
          <t>Apple</t>
        </is>
      </c>
      <c r="K49" s="158" t="inlineStr">
        <is>
          <t>Owned (deployed)</t>
        </is>
      </c>
      <c r="L49" s="141" t="inlineStr">
        <is>
          <t>2019-09-10</t>
        </is>
      </c>
      <c r="M49" s="144" t="inlineStr">
        <is>
          <t>In 2019 Baseline</t>
        </is>
      </c>
      <c r="N49" s="159" t="n"/>
      <c r="O49" s="143" t="inlineStr"/>
    </row>
    <row r="50" ht="19" customHeight="1" s="63">
      <c r="A50" s="134" t="n">
        <v>21</v>
      </c>
      <c r="B50" s="136" t="inlineStr">
        <is>
          <t>Manufacturing</t>
        </is>
      </c>
      <c r="C50" s="136" t="inlineStr">
        <is>
          <t>Automation</t>
        </is>
      </c>
      <c r="D50" s="135" t="inlineStr">
        <is>
          <t>Hazman Husni</t>
        </is>
      </c>
      <c r="E50" s="134" t="inlineStr">
        <is>
          <t>JKS0978</t>
        </is>
      </c>
      <c r="F50" s="136" t="inlineStr">
        <is>
          <t>hazman.husni</t>
        </is>
      </c>
      <c r="G50" s="134" t="inlineStr">
        <is>
          <t>Tier 3: Automation / IT Dev</t>
        </is>
      </c>
      <c r="H50" s="136" t="inlineStr">
        <is>
          <t>L15</t>
        </is>
      </c>
      <c r="I50" s="135" t="inlineStr">
        <is>
          <t>LAP2112W36006</t>
        </is>
      </c>
      <c r="J50" s="134" t="inlineStr">
        <is>
          <t>Lenovo</t>
        </is>
      </c>
      <c r="K50" s="158" t="inlineStr">
        <is>
          <t>Owned (deployed)</t>
        </is>
      </c>
      <c r="L50" s="134" t="inlineStr">
        <is>
          <t>2024-08-19</t>
        </is>
      </c>
      <c r="M50" s="160" t="inlineStr">
        <is>
          <t>Post-2019 Hire (2024)</t>
        </is>
      </c>
      <c r="N50" s="159" t="n"/>
      <c r="O50" s="136" t="inlineStr"/>
    </row>
    <row r="51" ht="19" customHeight="1" s="63">
      <c r="A51" s="141" t="n">
        <v>22</v>
      </c>
      <c r="B51" s="143" t="inlineStr">
        <is>
          <t>Manufacturing</t>
        </is>
      </c>
      <c r="C51" s="143" t="inlineStr">
        <is>
          <t>Automation</t>
        </is>
      </c>
      <c r="D51" s="142" t="inlineStr">
        <is>
          <t>Joel Kishen John</t>
        </is>
      </c>
      <c r="E51" s="141" t="inlineStr">
        <is>
          <t>JKS0982</t>
        </is>
      </c>
      <c r="F51" s="143" t="inlineStr">
        <is>
          <t>joelkishen.john</t>
        </is>
      </c>
      <c r="G51" s="141" t="inlineStr">
        <is>
          <t>Tier 3: Automation / IT Dev</t>
        </is>
      </c>
      <c r="H51" s="143" t="inlineStr">
        <is>
          <t>L15</t>
        </is>
      </c>
      <c r="I51" s="142" t="inlineStr">
        <is>
          <t>LAP2112W36004</t>
        </is>
      </c>
      <c r="J51" s="141" t="inlineStr">
        <is>
          <t>Lenovo</t>
        </is>
      </c>
      <c r="K51" s="158" t="inlineStr">
        <is>
          <t>Owned (deployed)</t>
        </is>
      </c>
      <c r="L51" s="141" t="inlineStr">
        <is>
          <t>2025-01-02</t>
        </is>
      </c>
      <c r="M51" s="161" t="inlineStr">
        <is>
          <t>Post-2019 Hire (2025)</t>
        </is>
      </c>
      <c r="N51" s="159" t="n"/>
      <c r="O51" s="143" t="inlineStr"/>
    </row>
    <row r="52" ht="19" customHeight="1" s="63">
      <c r="A52" s="134" t="n">
        <v>23</v>
      </c>
      <c r="B52" s="136" t="inlineStr">
        <is>
          <t>Manufacturing</t>
        </is>
      </c>
      <c r="C52" s="136" t="inlineStr">
        <is>
          <t>Automation</t>
        </is>
      </c>
      <c r="D52" s="135" t="inlineStr">
        <is>
          <t>Shafiq Zulkifli</t>
        </is>
      </c>
      <c r="E52" s="134" t="inlineStr">
        <is>
          <t>-</t>
        </is>
      </c>
      <c r="F52" s="136" t="inlineStr">
        <is>
          <t>shafiq.zulkifli</t>
        </is>
      </c>
      <c r="G52" s="134" t="inlineStr">
        <is>
          <t>Tier 3: Automation / IT Dev</t>
        </is>
      </c>
      <c r="H52" s="136" t="inlineStr">
        <is>
          <t>L15</t>
        </is>
      </c>
      <c r="I52" s="135" t="inlineStr">
        <is>
          <t>LAP2112W36007</t>
        </is>
      </c>
      <c r="J52" s="134" t="inlineStr">
        <is>
          <t>Lenovo</t>
        </is>
      </c>
      <c r="K52" s="158" t="inlineStr">
        <is>
          <t>Owned (deployed)</t>
        </is>
      </c>
      <c r="L52" s="134" t="inlineStr">
        <is>
          <t>Active (Unverified)</t>
        </is>
      </c>
      <c r="M52" s="160" t="inlineStr">
        <is>
          <t>Post-2019 Hire (Recent)</t>
        </is>
      </c>
      <c r="N52" s="159" t="n"/>
      <c r="O52" s="136" t="inlineStr"/>
    </row>
    <row r="53" ht="19" customHeight="1" s="63">
      <c r="A53" s="141" t="n">
        <v>24</v>
      </c>
      <c r="B53" s="143" t="inlineStr">
        <is>
          <t>Manufacturing</t>
        </is>
      </c>
      <c r="C53" s="143" t="inlineStr">
        <is>
          <t>Automation</t>
        </is>
      </c>
      <c r="D53" s="142" t="inlineStr">
        <is>
          <t>Chin Jing Sian</t>
        </is>
      </c>
      <c r="E53" s="141" t="inlineStr">
        <is>
          <t>JKS0549</t>
        </is>
      </c>
      <c r="F53" s="143" t="inlineStr">
        <is>
          <t>jingsian.chin</t>
        </is>
      </c>
      <c r="G53" s="141" t="inlineStr">
        <is>
          <t>Tier 3: Automation / IT Dev</t>
        </is>
      </c>
      <c r="H53" s="143" t="inlineStr">
        <is>
          <t>T14</t>
        </is>
      </c>
      <c r="I53" s="142" t="inlineStr">
        <is>
          <t>DESKTOP-B0429</t>
        </is>
      </c>
      <c r="J53" s="141" t="inlineStr">
        <is>
          <t>Lenovo</t>
        </is>
      </c>
      <c r="K53" s="149" t="inlineStr">
        <is>
          <t>Leased (deployed)</t>
        </is>
      </c>
      <c r="L53" s="141" t="inlineStr">
        <is>
          <t>Pre-2019</t>
        </is>
      </c>
      <c r="M53" s="144" t="inlineStr">
        <is>
          <t>In 2019 Baseline</t>
        </is>
      </c>
      <c r="N53" s="159" t="n"/>
      <c r="O53" s="143" t="inlineStr"/>
    </row>
    <row r="54" ht="20" customHeight="1" s="63">
      <c r="A54" s="156" t="inlineStr">
        <is>
          <t>■ BUSINESS DEVELOPMENT (4 Active Units: 3 Owned, 1 Leased)</t>
        </is>
      </c>
      <c r="B54" s="157" t="n"/>
      <c r="C54" s="157" t="n"/>
      <c r="D54" s="157" t="n"/>
      <c r="E54" s="157" t="n"/>
      <c r="F54" s="157" t="n"/>
      <c r="G54" s="157" t="n"/>
      <c r="H54" s="157" t="n"/>
      <c r="I54" s="157" t="n"/>
      <c r="J54" s="157" t="n"/>
      <c r="K54" s="157" t="n"/>
      <c r="L54" s="157" t="n"/>
      <c r="M54" s="157" t="n"/>
      <c r="N54" s="157" t="n"/>
      <c r="O54" s="157" t="n"/>
    </row>
    <row r="55" ht="19" customHeight="1" s="63">
      <c r="A55" s="134" t="n">
        <v>25</v>
      </c>
      <c r="B55" s="136" t="inlineStr">
        <is>
          <t>Business Development</t>
        </is>
      </c>
      <c r="C55" s="136" t="inlineStr">
        <is>
          <t>-</t>
        </is>
      </c>
      <c r="D55" s="135" t="inlineStr">
        <is>
          <t>Tham Jia Qian</t>
        </is>
      </c>
      <c r="E55" s="134" t="inlineStr">
        <is>
          <t>JKS0992</t>
        </is>
      </c>
      <c r="F55" s="136" t="inlineStr">
        <is>
          <t>jiaqian.tham</t>
        </is>
      </c>
      <c r="G55" s="134" t="inlineStr">
        <is>
          <t>Tier 4: Managerial / BD / TC</t>
        </is>
      </c>
      <c r="H55" s="136" t="inlineStr">
        <is>
          <t>M2 13"</t>
        </is>
      </c>
      <c r="I55" s="135" t="inlineStr">
        <is>
          <t>JKS-IT-2510-318</t>
        </is>
      </c>
      <c r="J55" s="134" t="inlineStr">
        <is>
          <t>Apple</t>
        </is>
      </c>
      <c r="K55" s="158" t="inlineStr">
        <is>
          <t>Owned (deployed)</t>
        </is>
      </c>
      <c r="L55" s="134" t="inlineStr">
        <is>
          <t>2025-09-17</t>
        </is>
      </c>
      <c r="M55" s="160" t="inlineStr">
        <is>
          <t>Post-2019 Hire (2025)</t>
        </is>
      </c>
      <c r="N55" s="159" t="n"/>
      <c r="O55" s="136" t="inlineStr"/>
    </row>
    <row r="56" ht="19" customHeight="1" s="63">
      <c r="A56" s="141" t="n">
        <v>26</v>
      </c>
      <c r="B56" s="143" t="inlineStr">
        <is>
          <t>Business Development</t>
        </is>
      </c>
      <c r="C56" s="143" t="inlineStr">
        <is>
          <t>-</t>
        </is>
      </c>
      <c r="D56" s="142" t="inlineStr">
        <is>
          <t>Nur Risha Aiman Makhtar</t>
        </is>
      </c>
      <c r="E56" s="141" t="inlineStr">
        <is>
          <t>-</t>
        </is>
      </c>
      <c r="F56" s="143" t="inlineStr">
        <is>
          <t>risha.aiman</t>
        </is>
      </c>
      <c r="G56" s="141" t="inlineStr">
        <is>
          <t>Tier 4: Managerial / BD / TC</t>
        </is>
      </c>
      <c r="H56" s="143" t="inlineStr">
        <is>
          <t>2020 13"</t>
        </is>
      </c>
      <c r="I56" s="142" t="inlineStr">
        <is>
          <t>JKS-IT-2407-272</t>
        </is>
      </c>
      <c r="J56" s="141" t="inlineStr">
        <is>
          <t>Apple</t>
        </is>
      </c>
      <c r="K56" s="158" t="inlineStr">
        <is>
          <t>Owned (deployed)</t>
        </is>
      </c>
      <c r="L56" s="141" t="inlineStr">
        <is>
          <t>Active (Unverified)</t>
        </is>
      </c>
      <c r="M56" s="161" t="inlineStr">
        <is>
          <t>Post-2019 Hire (Recent)</t>
        </is>
      </c>
      <c r="N56" s="159" t="n"/>
      <c r="O56" s="143" t="inlineStr"/>
    </row>
    <row r="57" ht="19" customHeight="1" s="63">
      <c r="A57" s="134" t="n">
        <v>27</v>
      </c>
      <c r="B57" s="136" t="inlineStr">
        <is>
          <t>Business Development</t>
        </is>
      </c>
      <c r="C57" s="136" t="inlineStr">
        <is>
          <t>-</t>
        </is>
      </c>
      <c r="D57" s="135" t="inlineStr">
        <is>
          <t>Evelyn Lee Hor Yan</t>
        </is>
      </c>
      <c r="E57" s="134" t="inlineStr">
        <is>
          <t>JKS1004</t>
        </is>
      </c>
      <c r="F57" s="136" t="inlineStr">
        <is>
          <t>horyan.lee</t>
        </is>
      </c>
      <c r="G57" s="134" t="inlineStr">
        <is>
          <t>Tier 2: Designer / R&amp;D Workstation</t>
        </is>
      </c>
      <c r="H57" s="136" t="inlineStr">
        <is>
          <t>P14s</t>
        </is>
      </c>
      <c r="I57" s="135" t="inlineStr">
        <is>
          <t>LAP2112W60009</t>
        </is>
      </c>
      <c r="J57" s="134" t="inlineStr">
        <is>
          <t>Lenovo</t>
        </is>
      </c>
      <c r="K57" s="158" t="inlineStr">
        <is>
          <t>Owned (deployed)</t>
        </is>
      </c>
      <c r="L57" s="134" t="inlineStr">
        <is>
          <t>2026-03-02</t>
        </is>
      </c>
      <c r="M57" s="160" t="inlineStr">
        <is>
          <t>Post-2019 Hire (2026)</t>
        </is>
      </c>
      <c r="N57" s="159" t="n"/>
      <c r="O57" s="136" t="inlineStr"/>
    </row>
    <row r="58" ht="19" customHeight="1" s="63">
      <c r="A58" s="141" t="n">
        <v>28</v>
      </c>
      <c r="B58" s="143" t="inlineStr">
        <is>
          <t>Business Development</t>
        </is>
      </c>
      <c r="C58" s="143" t="inlineStr">
        <is>
          <t>-</t>
        </is>
      </c>
      <c r="D58" s="142" t="inlineStr">
        <is>
          <t>Jayden Ng Jien Hun</t>
        </is>
      </c>
      <c r="E58" s="141" t="inlineStr">
        <is>
          <t>JKS0951</t>
        </is>
      </c>
      <c r="F58" s="143" t="inlineStr">
        <is>
          <t>jienhun.ng</t>
        </is>
      </c>
      <c r="G58" s="141" t="inlineStr">
        <is>
          <t>Tier 4: Managerial / BD / TC</t>
        </is>
      </c>
      <c r="H58" s="143" t="inlineStr">
        <is>
          <t>T14</t>
        </is>
      </c>
      <c r="I58" s="142" t="inlineStr">
        <is>
          <t>DESKTOP-B0220</t>
        </is>
      </c>
      <c r="J58" s="141" t="inlineStr">
        <is>
          <t>Lenovo</t>
        </is>
      </c>
      <c r="K58" s="149" t="inlineStr">
        <is>
          <t>Leased (deployed)</t>
        </is>
      </c>
      <c r="L58" s="141" t="inlineStr">
        <is>
          <t>2023-04-10</t>
        </is>
      </c>
      <c r="M58" s="161" t="inlineStr">
        <is>
          <t>Post-2019 Hire (2023)</t>
        </is>
      </c>
      <c r="N58" s="159" t="n"/>
      <c r="O58" s="143" t="inlineStr"/>
    </row>
    <row r="59" ht="20" customHeight="1" s="63">
      <c r="A59" s="156" t="inlineStr">
        <is>
          <t>■ TECHNOLOGY - COSTING (3 Active Units: 2 Owned, 1 Leased)</t>
        </is>
      </c>
      <c r="B59" s="157" t="n"/>
      <c r="C59" s="157" t="n"/>
      <c r="D59" s="157" t="n"/>
      <c r="E59" s="157" t="n"/>
      <c r="F59" s="157" t="n"/>
      <c r="G59" s="157" t="n"/>
      <c r="H59" s="157" t="n"/>
      <c r="I59" s="157" t="n"/>
      <c r="J59" s="157" t="n"/>
      <c r="K59" s="157" t="n"/>
      <c r="L59" s="157" t="n"/>
      <c r="M59" s="157" t="n"/>
      <c r="N59" s="157" t="n"/>
      <c r="O59" s="157" t="n"/>
    </row>
    <row r="60" ht="19" customHeight="1" s="63">
      <c r="A60" s="134" t="n">
        <v>29</v>
      </c>
      <c r="B60" s="136" t="inlineStr">
        <is>
          <t>Technology</t>
        </is>
      </c>
      <c r="C60" s="136" t="inlineStr">
        <is>
          <t>Costing</t>
        </is>
      </c>
      <c r="D60" s="135" t="inlineStr">
        <is>
          <t>Wu Choi Mee</t>
        </is>
      </c>
      <c r="E60" s="134" t="inlineStr">
        <is>
          <t>JKS0719</t>
        </is>
      </c>
      <c r="F60" s="136" t="inlineStr">
        <is>
          <t>wcm</t>
        </is>
      </c>
      <c r="G60" s="134" t="inlineStr">
        <is>
          <t>Tier 2: Designer / R&amp;D Workstation</t>
        </is>
      </c>
      <c r="H60" s="136" t="inlineStr">
        <is>
          <t>P14s</t>
        </is>
      </c>
      <c r="I60" s="135" t="inlineStr">
        <is>
          <t>LAP2112W36003</t>
        </is>
      </c>
      <c r="J60" s="134" t="inlineStr">
        <is>
          <t>Lenovo</t>
        </is>
      </c>
      <c r="K60" s="158" t="inlineStr">
        <is>
          <t>Owned (deployed)</t>
        </is>
      </c>
      <c r="L60" s="134" t="inlineStr">
        <is>
          <t>2016-07-18</t>
        </is>
      </c>
      <c r="M60" s="137" t="inlineStr">
        <is>
          <t>In 2019 Baseline</t>
        </is>
      </c>
      <c r="N60" s="159" t="n"/>
      <c r="O60" s="136" t="inlineStr"/>
    </row>
    <row r="61" ht="19" customHeight="1" s="63">
      <c r="A61" s="141" t="n">
        <v>30</v>
      </c>
      <c r="B61" s="143" t="inlineStr">
        <is>
          <t>Technology</t>
        </is>
      </c>
      <c r="C61" s="143" t="inlineStr">
        <is>
          <t>Costing</t>
        </is>
      </c>
      <c r="D61" s="142" t="inlineStr">
        <is>
          <t>Goh Ying Ying</t>
        </is>
      </c>
      <c r="E61" s="141" t="inlineStr">
        <is>
          <t>JKS0846</t>
        </is>
      </c>
      <c r="F61" s="143" t="inlineStr">
        <is>
          <t>yingying.goh</t>
        </is>
      </c>
      <c r="G61" s="141" t="inlineStr">
        <is>
          <t>Tier 4: Managerial / BD / TC</t>
        </is>
      </c>
      <c r="H61" s="143" t="n">
        <v>3593</v>
      </c>
      <c r="I61" s="142" t="inlineStr">
        <is>
          <t>LAP1912W12004</t>
        </is>
      </c>
      <c r="J61" s="141" t="inlineStr">
        <is>
          <t>Dell</t>
        </is>
      </c>
      <c r="K61" s="158" t="inlineStr">
        <is>
          <t>Owned (deployed)</t>
        </is>
      </c>
      <c r="L61" s="141" t="inlineStr">
        <is>
          <t>2018-10-04</t>
        </is>
      </c>
      <c r="M61" s="144" t="inlineStr">
        <is>
          <t>In 2019 Baseline</t>
        </is>
      </c>
      <c r="N61" s="159" t="n"/>
      <c r="O61" s="143" t="inlineStr"/>
    </row>
    <row r="62" ht="19" customHeight="1" s="63">
      <c r="A62" s="134" t="n">
        <v>31</v>
      </c>
      <c r="B62" s="136" t="inlineStr">
        <is>
          <t>Technology</t>
        </is>
      </c>
      <c r="C62" s="136" t="inlineStr">
        <is>
          <t>Costing</t>
        </is>
      </c>
      <c r="D62" s="135" t="inlineStr">
        <is>
          <t>Sew Thee Hwa</t>
        </is>
      </c>
      <c r="E62" s="134" t="inlineStr">
        <is>
          <t>JKS0996</t>
        </is>
      </c>
      <c r="F62" s="136" t="inlineStr">
        <is>
          <t>theehwa.sew</t>
        </is>
      </c>
      <c r="G62" s="134" t="inlineStr">
        <is>
          <t>Tier 4: Managerial / BD / TC</t>
        </is>
      </c>
      <c r="H62" s="136" t="inlineStr">
        <is>
          <t>T14</t>
        </is>
      </c>
      <c r="I62" s="135" t="inlineStr">
        <is>
          <t>JKS-IT-2508-315</t>
        </is>
      </c>
      <c r="J62" s="134" t="inlineStr">
        <is>
          <t>Lenovo</t>
        </is>
      </c>
      <c r="K62" s="149" t="inlineStr">
        <is>
          <t>Leased (deployed)</t>
        </is>
      </c>
      <c r="L62" s="134" t="inlineStr">
        <is>
          <t>2025-11-03</t>
        </is>
      </c>
      <c r="M62" s="160" t="inlineStr">
        <is>
          <t>Post-2019 Hire (2025)</t>
        </is>
      </c>
      <c r="N62" s="159" t="n"/>
      <c r="O62" s="136" t="inlineStr"/>
    </row>
    <row r="63" ht="20" customHeight="1" s="63">
      <c r="A63" s="156" t="inlineStr">
        <is>
          <t>■ HR &amp; ADMIN (2 Active Units: 2 Owned, 0 Leased)</t>
        </is>
      </c>
      <c r="B63" s="157" t="n"/>
      <c r="C63" s="157" t="n"/>
      <c r="D63" s="157" t="n"/>
      <c r="E63" s="157" t="n"/>
      <c r="F63" s="157" t="n"/>
      <c r="G63" s="157" t="n"/>
      <c r="H63" s="157" t="n"/>
      <c r="I63" s="157" t="n"/>
      <c r="J63" s="157" t="n"/>
      <c r="K63" s="157" t="n"/>
      <c r="L63" s="157" t="n"/>
      <c r="M63" s="157" t="n"/>
      <c r="N63" s="157" t="n"/>
      <c r="O63" s="157" t="n"/>
    </row>
    <row r="64" ht="19" customHeight="1" s="63">
      <c r="A64" s="141" t="n">
        <v>32</v>
      </c>
      <c r="B64" s="143" t="inlineStr">
        <is>
          <t>HR &amp; Admin</t>
        </is>
      </c>
      <c r="C64" s="143" t="inlineStr">
        <is>
          <t>-</t>
        </is>
      </c>
      <c r="D64" s="142" t="inlineStr">
        <is>
          <t>Sim Fui Duan</t>
        </is>
      </c>
      <c r="E64" s="141" t="inlineStr">
        <is>
          <t>JKS0328</t>
        </is>
      </c>
      <c r="F64" s="143" t="inlineStr">
        <is>
          <t>fuiduan.sim</t>
        </is>
      </c>
      <c r="G64" s="141" t="inlineStr">
        <is>
          <t>Tier 4: Managerial / BD / TC</t>
        </is>
      </c>
      <c r="H64" s="143" t="inlineStr">
        <is>
          <t>L14</t>
        </is>
      </c>
      <c r="I64" s="142" t="inlineStr">
        <is>
          <t>LAP2204W36001</t>
        </is>
      </c>
      <c r="J64" s="141" t="inlineStr">
        <is>
          <t>Lenovo</t>
        </is>
      </c>
      <c r="K64" s="158" t="inlineStr">
        <is>
          <t>Owned (deployed)</t>
        </is>
      </c>
      <c r="L64" s="141" t="inlineStr">
        <is>
          <t>2020-07-06</t>
        </is>
      </c>
      <c r="M64" s="161" t="inlineStr">
        <is>
          <t>Post-2019 Hire (2020)</t>
        </is>
      </c>
      <c r="N64" s="159" t="n"/>
      <c r="O64" s="143" t="inlineStr"/>
    </row>
    <row r="65" ht="19" customHeight="1" s="63">
      <c r="A65" s="134" t="n">
        <v>33</v>
      </c>
      <c r="B65" s="136" t="inlineStr">
        <is>
          <t>HR &amp; Admin</t>
        </is>
      </c>
      <c r="C65" s="136" t="inlineStr">
        <is>
          <t>-</t>
        </is>
      </c>
      <c r="D65" s="135" t="inlineStr">
        <is>
          <t>Ng Xin Yi</t>
        </is>
      </c>
      <c r="E65" s="134" t="inlineStr">
        <is>
          <t>JKS1001</t>
        </is>
      </c>
      <c r="F65" s="136" t="inlineStr">
        <is>
          <t>xinyi.ng</t>
        </is>
      </c>
      <c r="G65" s="134" t="inlineStr">
        <is>
          <t>Tier 5: Standard Staff</t>
        </is>
      </c>
      <c r="H65" s="136" t="inlineStr">
        <is>
          <t>E5470</t>
        </is>
      </c>
      <c r="I65" s="135" t="inlineStr">
        <is>
          <t>DESKTOP-91946</t>
        </is>
      </c>
      <c r="J65" s="134" t="inlineStr">
        <is>
          <t>Dell</t>
        </is>
      </c>
      <c r="K65" s="158" t="inlineStr">
        <is>
          <t>Owned (deployed)</t>
        </is>
      </c>
      <c r="L65" s="134" t="inlineStr">
        <is>
          <t>2026-02-02</t>
        </is>
      </c>
      <c r="M65" s="160" t="inlineStr">
        <is>
          <t>Post-2019 Hire (2026)</t>
        </is>
      </c>
      <c r="N65" s="159" t="n"/>
      <c r="O65" s="136" t="inlineStr"/>
    </row>
    <row r="66" ht="20" customHeight="1" s="63">
      <c r="A66" s="156" t="inlineStr">
        <is>
          <t>■ IT (3 Active Units: 3 Owned, 0 Leased)</t>
        </is>
      </c>
      <c r="B66" s="157" t="n"/>
      <c r="C66" s="157" t="n"/>
      <c r="D66" s="157" t="n"/>
      <c r="E66" s="157" t="n"/>
      <c r="F66" s="157" t="n"/>
      <c r="G66" s="157" t="n"/>
      <c r="H66" s="157" t="n"/>
      <c r="I66" s="157" t="n"/>
      <c r="J66" s="157" t="n"/>
      <c r="K66" s="157" t="n"/>
      <c r="L66" s="157" t="n"/>
      <c r="M66" s="157" t="n"/>
      <c r="N66" s="157" t="n"/>
      <c r="O66" s="157" t="n"/>
    </row>
    <row r="67" ht="19" customHeight="1" s="63">
      <c r="A67" s="141" t="n">
        <v>34</v>
      </c>
      <c r="B67" s="143" t="inlineStr">
        <is>
          <t>IT</t>
        </is>
      </c>
      <c r="C67" s="143" t="inlineStr">
        <is>
          <t>-</t>
        </is>
      </c>
      <c r="D67" s="142" t="inlineStr">
        <is>
          <t>Haziq Afendi</t>
        </is>
      </c>
      <c r="E67" s="141" t="inlineStr">
        <is>
          <t>JKS0989</t>
        </is>
      </c>
      <c r="F67" s="143" t="inlineStr">
        <is>
          <t>haziq.afendi</t>
        </is>
      </c>
      <c r="G67" s="141" t="inlineStr">
        <is>
          <t>Tier 3: Automation / IT Dev</t>
        </is>
      </c>
      <c r="H67" s="143" t="inlineStr">
        <is>
          <t>M2 13"</t>
        </is>
      </c>
      <c r="I67" s="142" t="inlineStr">
        <is>
          <t>JKS-IT-2510-320</t>
        </is>
      </c>
      <c r="J67" s="141" t="inlineStr">
        <is>
          <t>Apple</t>
        </is>
      </c>
      <c r="K67" s="158" t="inlineStr">
        <is>
          <t>Owned (deployed)</t>
        </is>
      </c>
      <c r="L67" s="141" t="inlineStr">
        <is>
          <t>2025-05-14</t>
        </is>
      </c>
      <c r="M67" s="161" t="inlineStr">
        <is>
          <t>Post-2019 Hire (2025)</t>
        </is>
      </c>
      <c r="N67" s="159" t="n"/>
      <c r="O67" s="143" t="inlineStr"/>
    </row>
    <row r="68" ht="19" customHeight="1" s="63">
      <c r="A68" s="134" t="n">
        <v>35</v>
      </c>
      <c r="B68" s="136" t="inlineStr">
        <is>
          <t>IT</t>
        </is>
      </c>
      <c r="C68" s="136" t="inlineStr">
        <is>
          <t>-</t>
        </is>
      </c>
      <c r="D68" s="135" t="inlineStr">
        <is>
          <t>Khairul Salni</t>
        </is>
      </c>
      <c r="E68" s="134" t="inlineStr">
        <is>
          <t>JKS0988</t>
        </is>
      </c>
      <c r="F68" s="136" t="inlineStr">
        <is>
          <t>khairul.salni</t>
        </is>
      </c>
      <c r="G68" s="134" t="inlineStr">
        <is>
          <t>Tier 3: Automation / IT Dev</t>
        </is>
      </c>
      <c r="H68" s="136" t="inlineStr">
        <is>
          <t>M4 13"</t>
        </is>
      </c>
      <c r="I68" s="135" t="inlineStr">
        <is>
          <t>JKS-IT-2510-319</t>
        </is>
      </c>
      <c r="J68" s="134" t="inlineStr">
        <is>
          <t>Apple</t>
        </is>
      </c>
      <c r="K68" s="158" t="inlineStr">
        <is>
          <t>Owned (deployed)</t>
        </is>
      </c>
      <c r="L68" s="134" t="inlineStr">
        <is>
          <t>2025-05-02</t>
        </is>
      </c>
      <c r="M68" s="160" t="inlineStr">
        <is>
          <t>Post-2019 Hire (2025)</t>
        </is>
      </c>
      <c r="N68" s="159" t="n"/>
      <c r="O68" s="136" t="inlineStr"/>
    </row>
    <row r="69" ht="19" customHeight="1" s="63">
      <c r="A69" s="141" t="n">
        <v>36</v>
      </c>
      <c r="B69" s="143" t="inlineStr">
        <is>
          <t>IT</t>
        </is>
      </c>
      <c r="C69" s="143" t="inlineStr">
        <is>
          <t>-</t>
        </is>
      </c>
      <c r="D69" s="142" t="inlineStr">
        <is>
          <t>Saipulnizam Yusof</t>
        </is>
      </c>
      <c r="E69" s="141" t="inlineStr">
        <is>
          <t>-</t>
        </is>
      </c>
      <c r="F69" s="143" t="inlineStr">
        <is>
          <t>saipulnizam.yusof</t>
        </is>
      </c>
      <c r="G69" s="141" t="inlineStr">
        <is>
          <t>Tier 3: Automation / IT Dev</t>
        </is>
      </c>
      <c r="H69" s="143" t="inlineStr">
        <is>
          <t>2020 13"</t>
        </is>
      </c>
      <c r="I69" s="142" t="inlineStr">
        <is>
          <t>LAP2304W12002</t>
        </is>
      </c>
      <c r="J69" s="141" t="inlineStr">
        <is>
          <t>Apple</t>
        </is>
      </c>
      <c r="K69" s="158" t="inlineStr">
        <is>
          <t>Owned (deployed)</t>
        </is>
      </c>
      <c r="L69" s="141" t="inlineStr">
        <is>
          <t>Active (Unverified)</t>
        </is>
      </c>
      <c r="M69" s="161" t="inlineStr">
        <is>
          <t>Post-2019 Hire (Recent)</t>
        </is>
      </c>
      <c r="N69" s="159" t="n"/>
      <c r="O69" s="143" t="inlineStr"/>
    </row>
    <row r="70" ht="20" customHeight="1" s="63">
      <c r="A70" s="156" t="inlineStr">
        <is>
          <t>■ MANUFACTURING (2 Active Units: 2 Owned, 0 Leased)</t>
        </is>
      </c>
      <c r="B70" s="157" t="n"/>
      <c r="C70" s="157" t="n"/>
      <c r="D70" s="157" t="n"/>
      <c r="E70" s="157" t="n"/>
      <c r="F70" s="157" t="n"/>
      <c r="G70" s="157" t="n"/>
      <c r="H70" s="157" t="n"/>
      <c r="I70" s="157" t="n"/>
      <c r="J70" s="157" t="n"/>
      <c r="K70" s="157" t="n"/>
      <c r="L70" s="157" t="n"/>
      <c r="M70" s="157" t="n"/>
      <c r="N70" s="157" t="n"/>
      <c r="O70" s="157" t="n"/>
    </row>
    <row r="71" ht="19" customHeight="1" s="63">
      <c r="A71" s="134" t="n">
        <v>37</v>
      </c>
      <c r="B71" s="136" t="inlineStr">
        <is>
          <t>Manufacturing</t>
        </is>
      </c>
      <c r="C71" s="136" t="inlineStr">
        <is>
          <t>-</t>
        </is>
      </c>
      <c r="D71" s="135" t="inlineStr">
        <is>
          <t>Liew Kwok Jee</t>
        </is>
      </c>
      <c r="E71" s="134" t="inlineStr">
        <is>
          <t>JKS0002</t>
        </is>
      </c>
      <c r="F71" s="136" t="inlineStr">
        <is>
          <t>lkj</t>
        </is>
      </c>
      <c r="G71" s="134" t="inlineStr">
        <is>
          <t>Tier 1: HOD / Director</t>
        </is>
      </c>
      <c r="H71" s="136" t="inlineStr">
        <is>
          <t>UX582L</t>
        </is>
      </c>
      <c r="I71" s="135" t="inlineStr">
        <is>
          <t>LAP2203W24001</t>
        </is>
      </c>
      <c r="J71" s="134" t="inlineStr">
        <is>
          <t>Asus</t>
        </is>
      </c>
      <c r="K71" s="158" t="inlineStr">
        <is>
          <t>Owned (deployed)</t>
        </is>
      </c>
      <c r="L71" s="134" t="inlineStr">
        <is>
          <t>2001-08-01</t>
        </is>
      </c>
      <c r="M71" s="137" t="inlineStr">
        <is>
          <t>In 2019 Baseline</t>
        </is>
      </c>
      <c r="N71" s="159" t="n"/>
      <c r="O71" s="136" t="inlineStr"/>
    </row>
    <row r="72" ht="19" customHeight="1" s="63">
      <c r="A72" s="141" t="n">
        <v>38</v>
      </c>
      <c r="B72" s="143" t="inlineStr">
        <is>
          <t>Manufacturing</t>
        </is>
      </c>
      <c r="C72" s="143" t="inlineStr">
        <is>
          <t>-</t>
        </is>
      </c>
      <c r="D72" s="142" t="inlineStr">
        <is>
          <t>Lim Kok Teong</t>
        </is>
      </c>
      <c r="E72" s="141" t="inlineStr">
        <is>
          <t>JKS0028</t>
        </is>
      </c>
      <c r="F72" s="143" t="inlineStr">
        <is>
          <t>lkt</t>
        </is>
      </c>
      <c r="G72" s="141" t="inlineStr">
        <is>
          <t>Tier 1: HOD / Director</t>
        </is>
      </c>
      <c r="H72" s="143" t="inlineStr">
        <is>
          <t>M5 2026</t>
        </is>
      </c>
      <c r="I72" s="142" t="inlineStr">
        <is>
          <t>JKS-IT-2604-334</t>
        </is>
      </c>
      <c r="J72" s="141" t="inlineStr">
        <is>
          <t>Apple</t>
        </is>
      </c>
      <c r="K72" s="158" t="inlineStr">
        <is>
          <t>Owned (deployed)</t>
        </is>
      </c>
      <c r="L72" s="141" t="inlineStr">
        <is>
          <t>2004-04-01</t>
        </is>
      </c>
      <c r="M72" s="144" t="inlineStr">
        <is>
          <t>In 2019 Baseline</t>
        </is>
      </c>
      <c r="N72" s="159" t="n"/>
      <c r="O72" s="143" t="inlineStr"/>
    </row>
    <row r="73" ht="20" customHeight="1" s="63">
      <c r="A73" s="156" t="inlineStr">
        <is>
          <t>■ MANUFACTURING - MECHANICAL DESIGN (7 Active Units: 7 Owned, 0 Leased)</t>
        </is>
      </c>
      <c r="B73" s="157" t="n"/>
      <c r="C73" s="157" t="n"/>
      <c r="D73" s="157" t="n"/>
      <c r="E73" s="157" t="n"/>
      <c r="F73" s="157" t="n"/>
      <c r="G73" s="157" t="n"/>
      <c r="H73" s="157" t="n"/>
      <c r="I73" s="157" t="n"/>
      <c r="J73" s="157" t="n"/>
      <c r="K73" s="157" t="n"/>
      <c r="L73" s="157" t="n"/>
      <c r="M73" s="157" t="n"/>
      <c r="N73" s="157" t="n"/>
      <c r="O73" s="157" t="n"/>
    </row>
    <row r="74" ht="19" customHeight="1" s="63">
      <c r="A74" s="134" t="n">
        <v>39</v>
      </c>
      <c r="B74" s="136" t="inlineStr">
        <is>
          <t>Manufacturing</t>
        </is>
      </c>
      <c r="C74" s="136" t="inlineStr">
        <is>
          <t>Mechanical Design</t>
        </is>
      </c>
      <c r="D74" s="135" t="inlineStr">
        <is>
          <t>Aiman Azmel</t>
        </is>
      </c>
      <c r="E74" s="134" t="inlineStr">
        <is>
          <t>JKS0987</t>
        </is>
      </c>
      <c r="F74" s="136" t="inlineStr">
        <is>
          <t>aiman.azmel</t>
        </is>
      </c>
      <c r="G74" s="134" t="inlineStr">
        <is>
          <t>Tier 2: Designer / R&amp;D Workstation</t>
        </is>
      </c>
      <c r="H74" s="136" t="inlineStr">
        <is>
          <t>P14s</t>
        </is>
      </c>
      <c r="I74" s="135" t="inlineStr">
        <is>
          <t>LAP2112W60002</t>
        </is>
      </c>
      <c r="J74" s="134" t="inlineStr">
        <is>
          <t>Lenovo</t>
        </is>
      </c>
      <c r="K74" s="158" t="inlineStr">
        <is>
          <t>Owned (deployed)</t>
        </is>
      </c>
      <c r="L74" s="134" t="inlineStr">
        <is>
          <t>2025-05-02</t>
        </is>
      </c>
      <c r="M74" s="160" t="inlineStr">
        <is>
          <t>Post-2019 Hire (2025)</t>
        </is>
      </c>
      <c r="N74" s="159" t="n"/>
      <c r="O74" s="136" t="inlineStr"/>
    </row>
    <row r="75" ht="19" customHeight="1" s="63">
      <c r="A75" s="141" t="n">
        <v>40</v>
      </c>
      <c r="B75" s="143" t="inlineStr">
        <is>
          <t>Manufacturing</t>
        </is>
      </c>
      <c r="C75" s="143" t="inlineStr">
        <is>
          <t>Mechanical Design</t>
        </is>
      </c>
      <c r="D75" s="142" t="inlineStr">
        <is>
          <t>Akhmal Ezam</t>
        </is>
      </c>
      <c r="E75" s="141" t="inlineStr">
        <is>
          <t>JKS0984</t>
        </is>
      </c>
      <c r="F75" s="143" t="inlineStr">
        <is>
          <t>akhmal.ezam</t>
        </is>
      </c>
      <c r="G75" s="141" t="inlineStr">
        <is>
          <t>Tier 2: Designer / R&amp;D Workstation</t>
        </is>
      </c>
      <c r="H75" s="143" t="inlineStr">
        <is>
          <t>P14s</t>
        </is>
      </c>
      <c r="I75" s="142" t="inlineStr">
        <is>
          <t>LAP2112W60004</t>
        </is>
      </c>
      <c r="J75" s="141" t="inlineStr">
        <is>
          <t>Lenovo</t>
        </is>
      </c>
      <c r="K75" s="158" t="inlineStr">
        <is>
          <t>Owned (deployed)</t>
        </is>
      </c>
      <c r="L75" s="141" t="inlineStr">
        <is>
          <t>2025-03-03</t>
        </is>
      </c>
      <c r="M75" s="161" t="inlineStr">
        <is>
          <t>Post-2019 Hire (2025)</t>
        </is>
      </c>
      <c r="N75" s="159" t="n"/>
      <c r="O75" s="143" t="inlineStr"/>
    </row>
    <row r="76" ht="19" customHeight="1" s="63">
      <c r="A76" s="134" t="n">
        <v>41</v>
      </c>
      <c r="B76" s="136" t="inlineStr">
        <is>
          <t>Manufacturing</t>
        </is>
      </c>
      <c r="C76" s="136" t="inlineStr">
        <is>
          <t>Mechanical Design</t>
        </is>
      </c>
      <c r="D76" s="135" t="inlineStr">
        <is>
          <t>Haidir Hamdan</t>
        </is>
      </c>
      <c r="E76" s="134" t="inlineStr">
        <is>
          <t>-</t>
        </is>
      </c>
      <c r="F76" s="136" t="inlineStr">
        <is>
          <t>haidir.hamdan</t>
        </is>
      </c>
      <c r="G76" s="134" t="inlineStr">
        <is>
          <t>Tier 2: Designer / R&amp;D Workstation</t>
        </is>
      </c>
      <c r="H76" s="136" t="n">
        <v>5400</v>
      </c>
      <c r="I76" s="135" t="inlineStr">
        <is>
          <t>JKS-IT-2311-253</t>
        </is>
      </c>
      <c r="J76" s="134" t="inlineStr">
        <is>
          <t>Dell</t>
        </is>
      </c>
      <c r="K76" s="158" t="inlineStr">
        <is>
          <t>Owned (deployed)</t>
        </is>
      </c>
      <c r="L76" s="134" t="inlineStr">
        <is>
          <t>Active (Unverified)</t>
        </is>
      </c>
      <c r="M76" s="160" t="inlineStr">
        <is>
          <t>Post-2019 Hire (Recent)</t>
        </is>
      </c>
      <c r="N76" s="159" t="n"/>
      <c r="O76" s="136" t="inlineStr"/>
    </row>
    <row r="77" ht="19" customHeight="1" s="63">
      <c r="A77" s="141" t="n">
        <v>42</v>
      </c>
      <c r="B77" s="143" t="inlineStr">
        <is>
          <t>Manufacturing</t>
        </is>
      </c>
      <c r="C77" s="143" t="inlineStr">
        <is>
          <t>Mechanical Design</t>
        </is>
      </c>
      <c r="D77" s="142" t="inlineStr">
        <is>
          <t>Izzah Anif</t>
        </is>
      </c>
      <c r="E77" s="141" t="inlineStr">
        <is>
          <t>JKS0853</t>
        </is>
      </c>
      <c r="F77" s="143" t="inlineStr">
        <is>
          <t>izzah.anif</t>
        </is>
      </c>
      <c r="G77" s="141" t="inlineStr">
        <is>
          <t>Tier 2: Designer / R&amp;D Workstation</t>
        </is>
      </c>
      <c r="H77" s="143" t="inlineStr">
        <is>
          <t>P14s</t>
        </is>
      </c>
      <c r="I77" s="142" t="inlineStr">
        <is>
          <t>LAP2112W60003</t>
        </is>
      </c>
      <c r="J77" s="141" t="inlineStr">
        <is>
          <t>Lenovo</t>
        </is>
      </c>
      <c r="K77" s="158" t="inlineStr">
        <is>
          <t>Owned (deployed)</t>
        </is>
      </c>
      <c r="L77" s="141" t="inlineStr">
        <is>
          <t>2018-11-07</t>
        </is>
      </c>
      <c r="M77" s="144" t="inlineStr">
        <is>
          <t>In 2019 Baseline</t>
        </is>
      </c>
      <c r="N77" s="159" t="n"/>
      <c r="O77" s="143" t="inlineStr"/>
    </row>
    <row r="78" ht="19" customHeight="1" s="63">
      <c r="A78" s="134" t="n">
        <v>43</v>
      </c>
      <c r="B78" s="136" t="inlineStr">
        <is>
          <t>Manufacturing</t>
        </is>
      </c>
      <c r="C78" s="136" t="inlineStr">
        <is>
          <t>Mechanical Design</t>
        </is>
      </c>
      <c r="D78" s="135" t="inlineStr">
        <is>
          <t>Chong Jun Yao</t>
        </is>
      </c>
      <c r="E78" s="134" t="inlineStr">
        <is>
          <t>JKS0997</t>
        </is>
      </c>
      <c r="F78" s="136" t="inlineStr">
        <is>
          <t>junyao.chong</t>
        </is>
      </c>
      <c r="G78" s="134" t="inlineStr">
        <is>
          <t>Tier 2: Designer / R&amp;D Workstation</t>
        </is>
      </c>
      <c r="H78" s="136" t="inlineStr">
        <is>
          <t>P14s</t>
        </is>
      </c>
      <c r="I78" s="135" t="inlineStr">
        <is>
          <t>LAP2112W60001</t>
        </is>
      </c>
      <c r="J78" s="134" t="inlineStr">
        <is>
          <t>Lenovo</t>
        </is>
      </c>
      <c r="K78" s="158" t="inlineStr">
        <is>
          <t>Owned (deployed)</t>
        </is>
      </c>
      <c r="L78" s="134" t="inlineStr">
        <is>
          <t>2025-11-17</t>
        </is>
      </c>
      <c r="M78" s="160" t="inlineStr">
        <is>
          <t>Post-2019 Hire (2025)</t>
        </is>
      </c>
      <c r="N78" s="159" t="n"/>
      <c r="O78" s="136" t="inlineStr"/>
    </row>
    <row r="79" ht="19" customHeight="1" s="63">
      <c r="A79" s="141" t="n">
        <v>44</v>
      </c>
      <c r="B79" s="143" t="inlineStr">
        <is>
          <t>Manufacturing</t>
        </is>
      </c>
      <c r="C79" s="143" t="inlineStr">
        <is>
          <t>Mechanical Design</t>
        </is>
      </c>
      <c r="D79" s="142" t="inlineStr">
        <is>
          <t>Zaki Asmanan</t>
        </is>
      </c>
      <c r="E79" s="141" t="inlineStr">
        <is>
          <t>JKS0045</t>
        </is>
      </c>
      <c r="F79" s="143" t="inlineStr">
        <is>
          <t>zaki.asmanan</t>
        </is>
      </c>
      <c r="G79" s="141" t="inlineStr">
        <is>
          <t>Tier 2: Designer / R&amp;D Workstation</t>
        </is>
      </c>
      <c r="H79" s="143" t="inlineStr">
        <is>
          <t>P14s</t>
        </is>
      </c>
      <c r="I79" s="142" t="inlineStr">
        <is>
          <t>LAP2112W60007</t>
        </is>
      </c>
      <c r="J79" s="141" t="inlineStr">
        <is>
          <t>Lenovo</t>
        </is>
      </c>
      <c r="K79" s="158" t="inlineStr">
        <is>
          <t>Owned (deployed)</t>
        </is>
      </c>
      <c r="L79" s="141" t="inlineStr">
        <is>
          <t>2004-10-01</t>
        </is>
      </c>
      <c r="M79" s="144" t="inlineStr">
        <is>
          <t>In 2019 Baseline</t>
        </is>
      </c>
      <c r="N79" s="159" t="n"/>
      <c r="O79" s="143" t="inlineStr"/>
    </row>
    <row r="80" ht="19" customHeight="1" s="63">
      <c r="A80" s="134" t="n">
        <v>45</v>
      </c>
      <c r="B80" s="136" t="inlineStr">
        <is>
          <t>Manufacturing</t>
        </is>
      </c>
      <c r="C80" s="136" t="inlineStr">
        <is>
          <t>Mechanical Design</t>
        </is>
      </c>
      <c r="D80" s="135" t="inlineStr">
        <is>
          <t>Hong Soon Eng</t>
        </is>
      </c>
      <c r="E80" s="134" t="inlineStr">
        <is>
          <t>JKS1003</t>
        </is>
      </c>
      <c r="F80" s="136" t="inlineStr">
        <is>
          <t>sooneng.hong</t>
        </is>
      </c>
      <c r="G80" s="134" t="inlineStr">
        <is>
          <t>Tier 2: Designer / R&amp;D Workstation</t>
        </is>
      </c>
      <c r="H80" s="136" t="inlineStr">
        <is>
          <t>Latitude 5520</t>
        </is>
      </c>
      <c r="I80" s="135" t="inlineStr">
        <is>
          <t>JKS-IT-2512-325</t>
        </is>
      </c>
      <c r="J80" s="134" t="inlineStr">
        <is>
          <t>Dell</t>
        </is>
      </c>
      <c r="K80" s="158" t="inlineStr">
        <is>
          <t>Owned (deployed)</t>
        </is>
      </c>
      <c r="L80" s="134" t="inlineStr">
        <is>
          <t>2026-02-24</t>
        </is>
      </c>
      <c r="M80" s="160" t="inlineStr">
        <is>
          <t>Post-2019 Hire (2026)</t>
        </is>
      </c>
      <c r="N80" s="159" t="n"/>
      <c r="O80" s="136" t="inlineStr"/>
    </row>
    <row r="81" ht="20" customHeight="1" s="63">
      <c r="A81" s="156" t="inlineStr">
        <is>
          <t>■ MANUFACTURING - OPERATION CONTROL (2 Active Units: 2 Owned, 0 Leased)</t>
        </is>
      </c>
      <c r="B81" s="157" t="n"/>
      <c r="C81" s="157" t="n"/>
      <c r="D81" s="157" t="n"/>
      <c r="E81" s="157" t="n"/>
      <c r="F81" s="157" t="n"/>
      <c r="G81" s="157" t="n"/>
      <c r="H81" s="157" t="n"/>
      <c r="I81" s="157" t="n"/>
      <c r="J81" s="157" t="n"/>
      <c r="K81" s="157" t="n"/>
      <c r="L81" s="157" t="n"/>
      <c r="M81" s="157" t="n"/>
      <c r="N81" s="157" t="n"/>
      <c r="O81" s="157" t="n"/>
    </row>
    <row r="82" ht="19" customHeight="1" s="63">
      <c r="A82" s="141" t="n">
        <v>46</v>
      </c>
      <c r="B82" s="143" t="inlineStr">
        <is>
          <t>Manufacturing</t>
        </is>
      </c>
      <c r="C82" s="143" t="inlineStr">
        <is>
          <t>Operation Control</t>
        </is>
      </c>
      <c r="D82" s="142" t="inlineStr">
        <is>
          <t>Ng Wan Teng</t>
        </is>
      </c>
      <c r="E82" s="141" t="inlineStr">
        <is>
          <t>JKS0633</t>
        </is>
      </c>
      <c r="F82" s="143" t="inlineStr">
        <is>
          <t>nwt</t>
        </is>
      </c>
      <c r="G82" s="141" t="inlineStr">
        <is>
          <t>Tier 5: Standard Staff</t>
        </is>
      </c>
      <c r="H82" s="143" t="inlineStr">
        <is>
          <t>2020 13"</t>
        </is>
      </c>
      <c r="I82" s="142" t="inlineStr">
        <is>
          <t>JKS-IT-2308-215</t>
        </is>
      </c>
      <c r="J82" s="141" t="inlineStr">
        <is>
          <t>Apple</t>
        </is>
      </c>
      <c r="K82" s="158" t="inlineStr">
        <is>
          <t>Owned (deployed)</t>
        </is>
      </c>
      <c r="L82" s="141" t="inlineStr">
        <is>
          <t>2014-08-04</t>
        </is>
      </c>
      <c r="M82" s="144" t="inlineStr">
        <is>
          <t>In 2019 Baseline</t>
        </is>
      </c>
      <c r="N82" s="159" t="n"/>
      <c r="O82" s="143" t="inlineStr"/>
    </row>
    <row r="83" ht="19" customHeight="1" s="63">
      <c r="A83" s="134" t="n">
        <v>47</v>
      </c>
      <c r="B83" s="136" t="inlineStr">
        <is>
          <t>Manufacturing</t>
        </is>
      </c>
      <c r="C83" s="136" t="inlineStr">
        <is>
          <t>Operation Control</t>
        </is>
      </c>
      <c r="D83" s="135" t="inlineStr">
        <is>
          <t>Ashiqin Shahrunizam</t>
        </is>
      </c>
      <c r="E83" s="134" t="inlineStr">
        <is>
          <t>JKS0837</t>
        </is>
      </c>
      <c r="F83" s="136" t="inlineStr">
        <is>
          <t>ashiqin.shahrunizam</t>
        </is>
      </c>
      <c r="G83" s="134" t="inlineStr">
        <is>
          <t>Tier 5: Standard Staff</t>
        </is>
      </c>
      <c r="H83" s="136" t="inlineStr">
        <is>
          <t>L15</t>
        </is>
      </c>
      <c r="I83" s="135" t="inlineStr">
        <is>
          <t>LAP2112W36009</t>
        </is>
      </c>
      <c r="J83" s="134" t="inlineStr">
        <is>
          <t>Lenovo</t>
        </is>
      </c>
      <c r="K83" s="158" t="inlineStr">
        <is>
          <t>Owned (deployed)</t>
        </is>
      </c>
      <c r="L83" s="134" t="inlineStr">
        <is>
          <t>2018-07-16</t>
        </is>
      </c>
      <c r="M83" s="137" t="inlineStr">
        <is>
          <t>In 2019 Baseline</t>
        </is>
      </c>
      <c r="N83" s="159" t="n"/>
      <c r="O83" s="136" t="inlineStr"/>
    </row>
    <row r="84" ht="20" customHeight="1" s="63">
      <c r="A84" s="156" t="inlineStr">
        <is>
          <t>■ PROCESS &amp; LAB (4 Active Units: 3 Owned, 1 Leased)</t>
        </is>
      </c>
      <c r="B84" s="157" t="n"/>
      <c r="C84" s="157" t="n"/>
      <c r="D84" s="157" t="n"/>
      <c r="E84" s="157" t="n"/>
      <c r="F84" s="157" t="n"/>
      <c r="G84" s="157" t="n"/>
      <c r="H84" s="157" t="n"/>
      <c r="I84" s="157" t="n"/>
      <c r="J84" s="157" t="n"/>
      <c r="K84" s="157" t="n"/>
      <c r="L84" s="157" t="n"/>
      <c r="M84" s="157" t="n"/>
      <c r="N84" s="157" t="n"/>
      <c r="O84" s="157" t="n"/>
    </row>
    <row r="85" ht="19" customHeight="1" s="63">
      <c r="A85" s="141" t="n">
        <v>48</v>
      </c>
      <c r="B85" s="143" t="inlineStr">
        <is>
          <t>Process &amp; Lab</t>
        </is>
      </c>
      <c r="C85" s="143" t="inlineStr">
        <is>
          <t>-</t>
        </is>
      </c>
      <c r="D85" s="142" t="inlineStr">
        <is>
          <t>Arijey Sanjeeth</t>
        </is>
      </c>
      <c r="E85" s="141" t="inlineStr">
        <is>
          <t>JKS0976</t>
        </is>
      </c>
      <c r="F85" s="143" t="inlineStr">
        <is>
          <t>arijey.sanjeeth</t>
        </is>
      </c>
      <c r="G85" s="141" t="inlineStr">
        <is>
          <t>Tier 5: Standard Staff</t>
        </is>
      </c>
      <c r="H85" s="143" t="n">
        <v>5400</v>
      </c>
      <c r="I85" s="142" t="inlineStr">
        <is>
          <t>JKS-IT-2311-256</t>
        </is>
      </c>
      <c r="J85" s="141" t="inlineStr">
        <is>
          <t>Dell</t>
        </is>
      </c>
      <c r="K85" s="158" t="inlineStr">
        <is>
          <t>Owned (deployed)</t>
        </is>
      </c>
      <c r="L85" s="141" t="inlineStr">
        <is>
          <t>2024-07-24</t>
        </is>
      </c>
      <c r="M85" s="161" t="inlineStr">
        <is>
          <t>Post-2019 Hire (2024)</t>
        </is>
      </c>
      <c r="N85" s="159" t="n"/>
      <c r="O85" s="143" t="inlineStr"/>
    </row>
    <row r="86" ht="19" customHeight="1" s="63">
      <c r="A86" s="134" t="n">
        <v>49</v>
      </c>
      <c r="B86" s="136" t="inlineStr">
        <is>
          <t>Process &amp; Lab</t>
        </is>
      </c>
      <c r="C86" s="136" t="inlineStr">
        <is>
          <t>-</t>
        </is>
      </c>
      <c r="D86" s="135" t="inlineStr">
        <is>
          <t>Raja Nur Atikah Raja Azam Shah</t>
        </is>
      </c>
      <c r="E86" s="134" t="inlineStr">
        <is>
          <t>-</t>
        </is>
      </c>
      <c r="F86" s="136" t="inlineStr">
        <is>
          <t>atikah.azam</t>
        </is>
      </c>
      <c r="G86" s="134" t="inlineStr">
        <is>
          <t>Tier 5: Standard Staff</t>
        </is>
      </c>
      <c r="H86" s="136" t="n">
        <v>5400</v>
      </c>
      <c r="I86" s="135" t="inlineStr">
        <is>
          <t>JKS-IT-2311-254</t>
        </is>
      </c>
      <c r="J86" s="134" t="inlineStr">
        <is>
          <t>Dell</t>
        </is>
      </c>
      <c r="K86" s="158" t="inlineStr">
        <is>
          <t>Owned (deployed)</t>
        </is>
      </c>
      <c r="L86" s="134" t="inlineStr">
        <is>
          <t>Active (Unverified)</t>
        </is>
      </c>
      <c r="M86" s="160" t="inlineStr">
        <is>
          <t>Post-2019 Hire (Recent)</t>
        </is>
      </c>
      <c r="N86" s="159" t="n"/>
      <c r="O86" s="136" t="inlineStr"/>
    </row>
    <row r="87" ht="19" customHeight="1" s="63">
      <c r="A87" s="141" t="n">
        <v>50</v>
      </c>
      <c r="B87" s="143" t="inlineStr">
        <is>
          <t>Process &amp; Lab</t>
        </is>
      </c>
      <c r="C87" s="143" t="inlineStr">
        <is>
          <t>-</t>
        </is>
      </c>
      <c r="D87" s="142" t="inlineStr">
        <is>
          <t>Vinotha Chandra</t>
        </is>
      </c>
      <c r="E87" s="141" t="inlineStr">
        <is>
          <t>JKS0734</t>
        </is>
      </c>
      <c r="F87" s="143" t="inlineStr">
        <is>
          <t>vin</t>
        </is>
      </c>
      <c r="G87" s="141" t="inlineStr">
        <is>
          <t>Tier 1: HOD / Director</t>
        </is>
      </c>
      <c r="H87" s="143" t="inlineStr">
        <is>
          <t>L15</t>
        </is>
      </c>
      <c r="I87" s="142" t="inlineStr">
        <is>
          <t>LAP2112W36008</t>
        </is>
      </c>
      <c r="J87" s="141" t="inlineStr">
        <is>
          <t>Lenovo</t>
        </is>
      </c>
      <c r="K87" s="158" t="inlineStr">
        <is>
          <t>Owned (deployed)</t>
        </is>
      </c>
      <c r="L87" s="141" t="inlineStr">
        <is>
          <t>2017-03-01</t>
        </is>
      </c>
      <c r="M87" s="144" t="inlineStr">
        <is>
          <t>In 2019 Baseline</t>
        </is>
      </c>
      <c r="N87" s="159" t="n"/>
      <c r="O87" s="143" t="inlineStr"/>
    </row>
    <row r="88" ht="19" customHeight="1" s="63">
      <c r="A88" s="134" t="n">
        <v>51</v>
      </c>
      <c r="B88" s="136" t="inlineStr">
        <is>
          <t>Process &amp; Lab</t>
        </is>
      </c>
      <c r="C88" s="136" t="inlineStr">
        <is>
          <t>-</t>
        </is>
      </c>
      <c r="D88" s="135" t="inlineStr">
        <is>
          <t>Parany Surendran</t>
        </is>
      </c>
      <c r="E88" s="134" t="inlineStr">
        <is>
          <t>JKS1008</t>
        </is>
      </c>
      <c r="F88" s="136" t="inlineStr">
        <is>
          <t>parany.surendran</t>
        </is>
      </c>
      <c r="G88" s="134" t="inlineStr">
        <is>
          <t>Tier 5: Standard Staff</t>
        </is>
      </c>
      <c r="H88" s="136" t="inlineStr">
        <is>
          <t>E5470</t>
        </is>
      </c>
      <c r="I88" s="135" t="inlineStr">
        <is>
          <t>DESKTOP-91977</t>
        </is>
      </c>
      <c r="J88" s="134" t="inlineStr">
        <is>
          <t>Dell</t>
        </is>
      </c>
      <c r="K88" s="149" t="inlineStr">
        <is>
          <t>Leased (deployed)</t>
        </is>
      </c>
      <c r="L88" s="134" t="inlineStr">
        <is>
          <t>2026-04-01</t>
        </is>
      </c>
      <c r="M88" s="160" t="inlineStr">
        <is>
          <t>Post-2019 Hire (2026)</t>
        </is>
      </c>
      <c r="N88" s="159" t="n"/>
      <c r="O88" s="136" t="inlineStr"/>
    </row>
    <row r="89" ht="20" customHeight="1" s="63">
      <c r="A89" s="156" t="inlineStr">
        <is>
          <t>■ MANUFACTURING - PRODUCTION (15 Active Units: 12 Owned, 3 Leased)</t>
        </is>
      </c>
      <c r="B89" s="157" t="n"/>
      <c r="C89" s="157" t="n"/>
      <c r="D89" s="157" t="n"/>
      <c r="E89" s="157" t="n"/>
      <c r="F89" s="157" t="n"/>
      <c r="G89" s="157" t="n"/>
      <c r="H89" s="157" t="n"/>
      <c r="I89" s="157" t="n"/>
      <c r="J89" s="157" t="n"/>
      <c r="K89" s="157" t="n"/>
      <c r="L89" s="157" t="n"/>
      <c r="M89" s="157" t="n"/>
      <c r="N89" s="157" t="n"/>
      <c r="O89" s="157" t="n"/>
    </row>
    <row r="90" ht="19" customHeight="1" s="63">
      <c r="A90" s="141" t="n">
        <v>52</v>
      </c>
      <c r="B90" s="143" t="inlineStr">
        <is>
          <t>Manufacturing</t>
        </is>
      </c>
      <c r="C90" s="143" t="inlineStr">
        <is>
          <t>Production</t>
        </is>
      </c>
      <c r="D90" s="142" t="inlineStr">
        <is>
          <t>Paramasivam Samynathan</t>
        </is>
      </c>
      <c r="E90" s="141" t="inlineStr">
        <is>
          <t>JKS0306</t>
        </is>
      </c>
      <c r="F90" s="143" t="inlineStr">
        <is>
          <t>prm</t>
        </is>
      </c>
      <c r="G90" s="141" t="inlineStr">
        <is>
          <t>Tier 5: Standard Staff</t>
        </is>
      </c>
      <c r="H90" s="143" t="inlineStr">
        <is>
          <t>MT3020</t>
        </is>
      </c>
      <c r="I90" s="142" t="inlineStr">
        <is>
          <t>DES1911W06008 / DESKTOP-JM7QL49</t>
        </is>
      </c>
      <c r="J90" s="141" t="inlineStr">
        <is>
          <t>Dell</t>
        </is>
      </c>
      <c r="K90" s="158" t="inlineStr">
        <is>
          <t>Owned (deployed)</t>
        </is>
      </c>
      <c r="L90" s="141" t="inlineStr">
        <is>
          <t>2009-11-16</t>
        </is>
      </c>
      <c r="M90" s="144" t="inlineStr">
        <is>
          <t>In 2019 Baseline</t>
        </is>
      </c>
      <c r="N90" s="159" t="n"/>
      <c r="O90" s="143" t="inlineStr"/>
    </row>
    <row r="91" ht="19" customHeight="1" s="63">
      <c r="A91" s="134" t="n">
        <v>53</v>
      </c>
      <c r="B91" s="136" t="inlineStr">
        <is>
          <t>Manufacturing</t>
        </is>
      </c>
      <c r="C91" s="136" t="inlineStr">
        <is>
          <t>Production</t>
        </is>
      </c>
      <c r="D91" s="135" t="inlineStr">
        <is>
          <t>Ridzuan Anuar</t>
        </is>
      </c>
      <c r="E91" s="134" t="inlineStr">
        <is>
          <t>JKS0926</t>
        </is>
      </c>
      <c r="F91" s="136" t="inlineStr">
        <is>
          <t>ridzuan.anuar</t>
        </is>
      </c>
      <c r="G91" s="134" t="inlineStr">
        <is>
          <t>Tier 5: Standard Staff</t>
        </is>
      </c>
      <c r="H91" s="136" t="n">
        <v>3593</v>
      </c>
      <c r="I91" s="135" t="inlineStr">
        <is>
          <t>LAP1912W12001</t>
        </is>
      </c>
      <c r="J91" s="134" t="inlineStr">
        <is>
          <t>Dell</t>
        </is>
      </c>
      <c r="K91" s="158" t="inlineStr">
        <is>
          <t>Owned (deployed)</t>
        </is>
      </c>
      <c r="L91" s="134" t="inlineStr">
        <is>
          <t>2022-02-22</t>
        </is>
      </c>
      <c r="M91" s="160" t="inlineStr">
        <is>
          <t>Post-2019 Hire (2022)</t>
        </is>
      </c>
      <c r="N91" s="159" t="n"/>
      <c r="O91" s="136" t="inlineStr"/>
    </row>
    <row r="92" ht="19" customHeight="1" s="63">
      <c r="A92" s="141" t="n">
        <v>54</v>
      </c>
      <c r="B92" s="143" t="inlineStr">
        <is>
          <t>Manufacturing</t>
        </is>
      </c>
      <c r="C92" s="143" t="inlineStr">
        <is>
          <t>Production</t>
        </is>
      </c>
      <c r="D92" s="142" t="inlineStr">
        <is>
          <t>Lee Sing Lee</t>
        </is>
      </c>
      <c r="E92" s="141" t="inlineStr">
        <is>
          <t>JKS0583</t>
        </is>
      </c>
      <c r="F92" s="143" t="inlineStr">
        <is>
          <t>lsl</t>
        </is>
      </c>
      <c r="G92" s="141" t="inlineStr">
        <is>
          <t>Tier 5: Standard Staff</t>
        </is>
      </c>
      <c r="H92" s="143" t="inlineStr">
        <is>
          <t>2019 16" Touchbar</t>
        </is>
      </c>
      <c r="I92" s="142" t="inlineStr">
        <is>
          <t>LAP2203W12001</t>
        </is>
      </c>
      <c r="J92" s="141" t="inlineStr">
        <is>
          <t>Apple</t>
        </is>
      </c>
      <c r="K92" s="158" t="inlineStr">
        <is>
          <t>Owned (deployed)</t>
        </is>
      </c>
      <c r="L92" s="141" t="inlineStr">
        <is>
          <t>2013-11-25</t>
        </is>
      </c>
      <c r="M92" s="144" t="inlineStr">
        <is>
          <t>In 2019 Baseline</t>
        </is>
      </c>
      <c r="N92" s="159" t="n"/>
      <c r="O92" s="143" t="inlineStr"/>
    </row>
    <row r="93" ht="19" customHeight="1" s="63">
      <c r="A93" s="134" t="n">
        <v>55</v>
      </c>
      <c r="B93" s="136" t="inlineStr">
        <is>
          <t>Manufacturing</t>
        </is>
      </c>
      <c r="C93" s="136" t="inlineStr">
        <is>
          <t>Production</t>
        </is>
      </c>
      <c r="D93" s="135" t="inlineStr">
        <is>
          <t>Anizan Ahmad</t>
        </is>
      </c>
      <c r="E93" s="134" t="inlineStr">
        <is>
          <t>JKS0061</t>
        </is>
      </c>
      <c r="F93" s="136" t="inlineStr">
        <is>
          <t>anizan.ahmad</t>
        </is>
      </c>
      <c r="G93" s="134" t="inlineStr">
        <is>
          <t>Tier 5: Standard Staff</t>
        </is>
      </c>
      <c r="H93" s="136" t="inlineStr">
        <is>
          <t>E7270</t>
        </is>
      </c>
      <c r="I93" s="135" t="inlineStr">
        <is>
          <t>DESKTOP-LBMSK2L</t>
        </is>
      </c>
      <c r="J93" s="134" t="inlineStr">
        <is>
          <t>Dell</t>
        </is>
      </c>
      <c r="K93" s="158" t="inlineStr">
        <is>
          <t>Owned (deployed)</t>
        </is>
      </c>
      <c r="L93" s="134" t="inlineStr">
        <is>
          <t>2005-02-03</t>
        </is>
      </c>
      <c r="M93" s="137" t="inlineStr">
        <is>
          <t>In 2019 Baseline</t>
        </is>
      </c>
      <c r="N93" s="159" t="n"/>
      <c r="O93" s="136" t="inlineStr"/>
    </row>
    <row r="94" ht="19" customHeight="1" s="63">
      <c r="A94" s="141" t="n">
        <v>56</v>
      </c>
      <c r="B94" s="143" t="inlineStr">
        <is>
          <t>Manufacturing</t>
        </is>
      </c>
      <c r="C94" s="143" t="inlineStr">
        <is>
          <t>Production</t>
        </is>
      </c>
      <c r="D94" s="142" t="inlineStr">
        <is>
          <t>Azman Ibrahim</t>
        </is>
      </c>
      <c r="E94" s="141" t="inlineStr">
        <is>
          <t>JKS0663</t>
        </is>
      </c>
      <c r="F94" s="143" t="inlineStr">
        <is>
          <t>azman.ibrahim</t>
        </is>
      </c>
      <c r="G94" s="141" t="inlineStr">
        <is>
          <t>Tier 5: Standard Staff</t>
        </is>
      </c>
      <c r="H94" s="143" t="inlineStr">
        <is>
          <t>E7270</t>
        </is>
      </c>
      <c r="I94" s="142" t="inlineStr">
        <is>
          <t>DESKTOP-8RFFJEK</t>
        </is>
      </c>
      <c r="J94" s="141" t="inlineStr">
        <is>
          <t>Dell</t>
        </is>
      </c>
      <c r="K94" s="158" t="inlineStr">
        <is>
          <t>Owned (deployed)</t>
        </is>
      </c>
      <c r="L94" s="141" t="inlineStr">
        <is>
          <t>2015-01-19</t>
        </is>
      </c>
      <c r="M94" s="144" t="inlineStr">
        <is>
          <t>In 2019 Baseline</t>
        </is>
      </c>
      <c r="N94" s="159" t="n"/>
      <c r="O94" s="143" t="inlineStr"/>
    </row>
    <row r="95" ht="19" customHeight="1" s="63">
      <c r="A95" s="134" t="n">
        <v>57</v>
      </c>
      <c r="B95" s="136" t="inlineStr">
        <is>
          <t>Manufacturing</t>
        </is>
      </c>
      <c r="C95" s="136" t="inlineStr">
        <is>
          <t>Production</t>
        </is>
      </c>
      <c r="D95" s="135" t="inlineStr">
        <is>
          <t>Bobby Ng Chai Hwang</t>
        </is>
      </c>
      <c r="E95" s="134" t="inlineStr">
        <is>
          <t>JKS0004</t>
        </is>
      </c>
      <c r="F95" s="136" t="inlineStr">
        <is>
          <t>chaihwang.ng</t>
        </is>
      </c>
      <c r="G95" s="134" t="inlineStr">
        <is>
          <t>Tier 5: Standard Staff</t>
        </is>
      </c>
      <c r="H95" s="136" t="inlineStr">
        <is>
          <t>E7270</t>
        </is>
      </c>
      <c r="I95" s="135" t="inlineStr">
        <is>
          <t>DESKTOP-6TDDD54</t>
        </is>
      </c>
      <c r="J95" s="134" t="inlineStr">
        <is>
          <t>Dell</t>
        </is>
      </c>
      <c r="K95" s="158" t="inlineStr">
        <is>
          <t>Owned (deployed)</t>
        </is>
      </c>
      <c r="L95" s="134" t="inlineStr">
        <is>
          <t>2001-10-09</t>
        </is>
      </c>
      <c r="M95" s="137" t="inlineStr">
        <is>
          <t>In 2019 Baseline</t>
        </is>
      </c>
      <c r="N95" s="159" t="n"/>
      <c r="O95" s="136" t="inlineStr"/>
    </row>
    <row r="96" ht="19" customHeight="1" s="63">
      <c r="A96" s="141" t="n">
        <v>58</v>
      </c>
      <c r="B96" s="143" t="inlineStr">
        <is>
          <t>Manufacturing</t>
        </is>
      </c>
      <c r="C96" s="143" t="inlineStr">
        <is>
          <t>Production</t>
        </is>
      </c>
      <c r="D96" s="142" t="inlineStr">
        <is>
          <t>Fairus Toha</t>
        </is>
      </c>
      <c r="E96" s="141" t="inlineStr">
        <is>
          <t>JKS0083</t>
        </is>
      </c>
      <c r="F96" s="143" t="inlineStr">
        <is>
          <t>fairus.toha</t>
        </is>
      </c>
      <c r="G96" s="141" t="inlineStr">
        <is>
          <t>Tier 5: Standard Staff</t>
        </is>
      </c>
      <c r="H96" s="143" t="inlineStr">
        <is>
          <t>E7270</t>
        </is>
      </c>
      <c r="I96" s="142" t="inlineStr">
        <is>
          <t>DESKTOP-CJKRQ3S</t>
        </is>
      </c>
      <c r="J96" s="141" t="inlineStr">
        <is>
          <t>Dell</t>
        </is>
      </c>
      <c r="K96" s="158" t="inlineStr">
        <is>
          <t>Owned (deployed)</t>
        </is>
      </c>
      <c r="L96" s="141" t="inlineStr">
        <is>
          <t>2006-04-17</t>
        </is>
      </c>
      <c r="M96" s="144" t="inlineStr">
        <is>
          <t>In 2019 Baseline</t>
        </is>
      </c>
      <c r="N96" s="159" t="n"/>
      <c r="O96" s="143" t="inlineStr"/>
    </row>
    <row r="97" ht="19" customHeight="1" s="63">
      <c r="A97" s="134" t="n">
        <v>59</v>
      </c>
      <c r="B97" s="136" t="inlineStr">
        <is>
          <t>Manufacturing</t>
        </is>
      </c>
      <c r="C97" s="136" t="inlineStr">
        <is>
          <t>Production</t>
        </is>
      </c>
      <c r="D97" s="135" t="inlineStr">
        <is>
          <t>Junaidi Sahal</t>
        </is>
      </c>
      <c r="E97" s="134" t="inlineStr">
        <is>
          <t>JKS0065</t>
        </is>
      </c>
      <c r="F97" s="136" t="inlineStr">
        <is>
          <t>junaidi.sahal</t>
        </is>
      </c>
      <c r="G97" s="134" t="inlineStr">
        <is>
          <t>Tier 5: Standard Staff</t>
        </is>
      </c>
      <c r="H97" s="136" t="inlineStr">
        <is>
          <t>E7270</t>
        </is>
      </c>
      <c r="I97" s="135" t="inlineStr">
        <is>
          <t>DESKTOP-MKB7DJ0</t>
        </is>
      </c>
      <c r="J97" s="134" t="inlineStr">
        <is>
          <t>Dell</t>
        </is>
      </c>
      <c r="K97" s="158" t="inlineStr">
        <is>
          <t>Owned (deployed)</t>
        </is>
      </c>
      <c r="L97" s="134" t="inlineStr">
        <is>
          <t>2005-06-13</t>
        </is>
      </c>
      <c r="M97" s="137" t="inlineStr">
        <is>
          <t>In 2019 Baseline</t>
        </is>
      </c>
      <c r="N97" s="159" t="n"/>
      <c r="O97" s="136" t="inlineStr"/>
    </row>
    <row r="98" ht="19" customHeight="1" s="63">
      <c r="A98" s="141" t="n">
        <v>60</v>
      </c>
      <c r="B98" s="143" t="inlineStr">
        <is>
          <t>Manufacturing</t>
        </is>
      </c>
      <c r="C98" s="143" t="inlineStr">
        <is>
          <t>Production</t>
        </is>
      </c>
      <c r="D98" s="142" t="inlineStr">
        <is>
          <t>Tan Poh Sheng</t>
        </is>
      </c>
      <c r="E98" s="141" t="inlineStr">
        <is>
          <t>JKS0336</t>
        </is>
      </c>
      <c r="F98" s="143" t="inlineStr">
        <is>
          <t>pohsheng.tan</t>
        </is>
      </c>
      <c r="G98" s="141" t="inlineStr">
        <is>
          <t>Tier 5: Standard Staff</t>
        </is>
      </c>
      <c r="H98" s="143" t="inlineStr">
        <is>
          <t>E7270</t>
        </is>
      </c>
      <c r="I98" s="142" t="inlineStr">
        <is>
          <t>DESKTOP-2S9JN03</t>
        </is>
      </c>
      <c r="J98" s="141" t="inlineStr">
        <is>
          <t>Dell</t>
        </is>
      </c>
      <c r="K98" s="158" t="inlineStr">
        <is>
          <t>Owned (deployed)</t>
        </is>
      </c>
      <c r="L98" s="141" t="inlineStr">
        <is>
          <t>2010-04-26</t>
        </is>
      </c>
      <c r="M98" s="144" t="inlineStr">
        <is>
          <t>In 2019 Baseline</t>
        </is>
      </c>
      <c r="N98" s="159" t="n"/>
      <c r="O98" s="143" t="inlineStr"/>
    </row>
    <row r="99" ht="19" customHeight="1" s="63">
      <c r="A99" s="134" t="n">
        <v>61</v>
      </c>
      <c r="B99" s="136" t="inlineStr">
        <is>
          <t>Manufacturing</t>
        </is>
      </c>
      <c r="C99" s="136" t="inlineStr">
        <is>
          <t>Production</t>
        </is>
      </c>
      <c r="D99" s="135" t="inlineStr">
        <is>
          <t>Whaidul Islam</t>
        </is>
      </c>
      <c r="E99" s="134" t="inlineStr">
        <is>
          <t>JKS0218</t>
        </is>
      </c>
      <c r="F99" s="136" t="inlineStr">
        <is>
          <t>whaidul.islam</t>
        </is>
      </c>
      <c r="G99" s="134" t="inlineStr">
        <is>
          <t>Tier 5: Standard Staff</t>
        </is>
      </c>
      <c r="H99" s="136" t="inlineStr">
        <is>
          <t>E7270</t>
        </is>
      </c>
      <c r="I99" s="135" t="inlineStr">
        <is>
          <t>DESKTOP-S2A24SB</t>
        </is>
      </c>
      <c r="J99" s="134" t="inlineStr">
        <is>
          <t>Dell</t>
        </is>
      </c>
      <c r="K99" s="158" t="inlineStr">
        <is>
          <t>Owned (deployed)</t>
        </is>
      </c>
      <c r="L99" s="134" t="inlineStr">
        <is>
          <t>Pre-2019</t>
        </is>
      </c>
      <c r="M99" s="137" t="inlineStr">
        <is>
          <t>In 2019 Baseline</t>
        </is>
      </c>
      <c r="N99" s="159" t="n"/>
      <c r="O99" s="136" t="inlineStr"/>
    </row>
    <row r="100" ht="19" customHeight="1" s="63">
      <c r="A100" s="141" t="n">
        <v>62</v>
      </c>
      <c r="B100" s="143" t="inlineStr">
        <is>
          <t>Manufacturing</t>
        </is>
      </c>
      <c r="C100" s="143" t="inlineStr">
        <is>
          <t>Production</t>
        </is>
      </c>
      <c r="D100" s="142" t="inlineStr">
        <is>
          <t>Azwa Roslan</t>
        </is>
      </c>
      <c r="E100" s="141" t="inlineStr">
        <is>
          <t>JKS0849</t>
        </is>
      </c>
      <c r="F100" s="143" t="inlineStr">
        <is>
          <t>azwa.roslan</t>
        </is>
      </c>
      <c r="G100" s="141" t="inlineStr">
        <is>
          <t>Tier 5: Standard Staff</t>
        </is>
      </c>
      <c r="H100" s="143" t="inlineStr">
        <is>
          <t>E5470</t>
        </is>
      </c>
      <c r="I100" s="142" t="inlineStr">
        <is>
          <t>DESKTOP-91941</t>
        </is>
      </c>
      <c r="J100" s="141" t="inlineStr">
        <is>
          <t>Dell</t>
        </is>
      </c>
      <c r="K100" s="149" t="inlineStr">
        <is>
          <t>Leased (deployed)</t>
        </is>
      </c>
      <c r="L100" s="141" t="inlineStr">
        <is>
          <t>2018-10-09</t>
        </is>
      </c>
      <c r="M100" s="144" t="inlineStr">
        <is>
          <t>In 2019 Baseline</t>
        </is>
      </c>
      <c r="N100" s="159" t="n"/>
      <c r="O100" s="143" t="inlineStr"/>
    </row>
    <row r="101" ht="19" customHeight="1" s="63">
      <c r="A101" s="134" t="n">
        <v>63</v>
      </c>
      <c r="B101" s="136" t="inlineStr">
        <is>
          <t>Manufacturing</t>
        </is>
      </c>
      <c r="C101" s="136" t="inlineStr">
        <is>
          <t>Production</t>
        </is>
      </c>
      <c r="D101" s="135" t="inlineStr">
        <is>
          <t>Bakri Ismail</t>
        </is>
      </c>
      <c r="E101" s="134" t="inlineStr">
        <is>
          <t>JKS0173</t>
        </is>
      </c>
      <c r="F101" s="136" t="inlineStr">
        <is>
          <t>bkr</t>
        </is>
      </c>
      <c r="G101" s="134" t="inlineStr">
        <is>
          <t>Tier 5: Standard Staff</t>
        </is>
      </c>
      <c r="H101" s="136" t="inlineStr">
        <is>
          <t>E5470</t>
        </is>
      </c>
      <c r="I101" s="135" t="inlineStr">
        <is>
          <t>DESKTOP-91966</t>
        </is>
      </c>
      <c r="J101" s="134" t="inlineStr">
        <is>
          <t>Dell</t>
        </is>
      </c>
      <c r="K101" s="149" t="inlineStr">
        <is>
          <t>Leased (deployed)</t>
        </is>
      </c>
      <c r="L101" s="134" t="inlineStr">
        <is>
          <t>2007-03-13</t>
        </is>
      </c>
      <c r="M101" s="137" t="inlineStr">
        <is>
          <t>In 2019 Baseline</t>
        </is>
      </c>
      <c r="N101" s="159" t="n"/>
      <c r="O101" s="136" t="inlineStr"/>
    </row>
    <row r="102" ht="19" customHeight="1" s="63">
      <c r="A102" s="141" t="n">
        <v>64</v>
      </c>
      <c r="B102" s="143" t="inlineStr">
        <is>
          <t>Manufacturing</t>
        </is>
      </c>
      <c r="C102" s="143" t="inlineStr">
        <is>
          <t>Production</t>
        </is>
      </c>
      <c r="D102" s="142" t="inlineStr">
        <is>
          <t>NurHazwani</t>
        </is>
      </c>
      <c r="E102" s="141" t="inlineStr">
        <is>
          <t>-</t>
        </is>
      </c>
      <c r="F102" s="143" t="inlineStr">
        <is>
          <t>-</t>
        </is>
      </c>
      <c r="G102" s="141" t="inlineStr">
        <is>
          <t>Tier 5: Standard Staff</t>
        </is>
      </c>
      <c r="H102" s="143" t="inlineStr">
        <is>
          <t>E5470</t>
        </is>
      </c>
      <c r="I102" s="142" t="inlineStr">
        <is>
          <t>DESKTOP-91976</t>
        </is>
      </c>
      <c r="J102" s="141" t="inlineStr">
        <is>
          <t>Dell</t>
        </is>
      </c>
      <c r="K102" s="149" t="inlineStr">
        <is>
          <t>Leased (deployed)</t>
        </is>
      </c>
      <c r="L102" s="141" t="inlineStr">
        <is>
          <t>Active (Unverified)</t>
        </is>
      </c>
      <c r="M102" s="161" t="inlineStr">
        <is>
          <t>Post-2019 Hire (Recent)</t>
        </is>
      </c>
      <c r="N102" s="159" t="n"/>
      <c r="O102" s="143" t="inlineStr"/>
    </row>
    <row r="103" ht="19" customHeight="1" s="63">
      <c r="A103" s="134" t="n">
        <v>65</v>
      </c>
      <c r="B103" s="136" t="inlineStr">
        <is>
          <t>Manufacturing</t>
        </is>
      </c>
      <c r="C103" s="136" t="inlineStr">
        <is>
          <t>Production</t>
        </is>
      </c>
      <c r="D103" s="135" t="inlineStr">
        <is>
          <t>Assembly</t>
        </is>
      </c>
      <c r="E103" s="134" t="inlineStr">
        <is>
          <t>STATION</t>
        </is>
      </c>
      <c r="F103" s="136" t="inlineStr">
        <is>
          <t>-</t>
        </is>
      </c>
      <c r="G103" s="134" t="inlineStr">
        <is>
          <t>Tier 5: Standard Staff</t>
        </is>
      </c>
      <c r="H103" s="136" t="inlineStr">
        <is>
          <t>E7270</t>
        </is>
      </c>
      <c r="I103" s="135" t="inlineStr">
        <is>
          <t>DESKTOP-6PF3T7Q</t>
        </is>
      </c>
      <c r="J103" s="134" t="inlineStr">
        <is>
          <t>Dell</t>
        </is>
      </c>
      <c r="K103" s="158" t="inlineStr">
        <is>
          <t>Owned (deployed)</t>
        </is>
      </c>
      <c r="L103" s="134" t="inlineStr">
        <is>
          <t>Shopfloor Station</t>
        </is>
      </c>
      <c r="M103" s="137" t="inlineStr">
        <is>
          <t>In 2019 Baseline (Station)</t>
        </is>
      </c>
      <c r="N103" s="159" t="n"/>
      <c r="O103" s="136" t="inlineStr"/>
    </row>
    <row r="104" ht="19" customHeight="1" s="63">
      <c r="A104" s="141" t="n">
        <v>66</v>
      </c>
      <c r="B104" s="143" t="inlineStr">
        <is>
          <t>Manufacturing</t>
        </is>
      </c>
      <c r="C104" s="143" t="inlineStr">
        <is>
          <t>Production</t>
        </is>
      </c>
      <c r="D104" s="142" t="inlineStr">
        <is>
          <t>Waterjet</t>
        </is>
      </c>
      <c r="E104" s="141" t="inlineStr">
        <is>
          <t>STATION</t>
        </is>
      </c>
      <c r="F104" s="143" t="inlineStr">
        <is>
          <t>-</t>
        </is>
      </c>
      <c r="G104" s="141" t="inlineStr">
        <is>
          <t>Tier 5: Standard Staff</t>
        </is>
      </c>
      <c r="H104" s="143" t="inlineStr">
        <is>
          <t>MT3020</t>
        </is>
      </c>
      <c r="I104" s="142" t="inlineStr">
        <is>
          <t>DES1911W06009</t>
        </is>
      </c>
      <c r="J104" s="141" t="inlineStr">
        <is>
          <t>Dell</t>
        </is>
      </c>
      <c r="K104" s="158" t="inlineStr">
        <is>
          <t>Owned (deployed)</t>
        </is>
      </c>
      <c r="L104" s="141" t="inlineStr">
        <is>
          <t>Shopfloor Station</t>
        </is>
      </c>
      <c r="M104" s="144" t="inlineStr">
        <is>
          <t>In 2019 Baseline (Station)</t>
        </is>
      </c>
      <c r="N104" s="159" t="n"/>
      <c r="O104" s="143" t="inlineStr"/>
    </row>
    <row r="105" ht="20" customHeight="1" s="63">
      <c r="A105" s="156" t="inlineStr">
        <is>
          <t>■ SUPPLY CHAIN (7 Active Units: 2 Owned, 5 Leased)</t>
        </is>
      </c>
      <c r="B105" s="157" t="n"/>
      <c r="C105" s="157" t="n"/>
      <c r="D105" s="157" t="n"/>
      <c r="E105" s="157" t="n"/>
      <c r="F105" s="157" t="n"/>
      <c r="G105" s="157" t="n"/>
      <c r="H105" s="157" t="n"/>
      <c r="I105" s="157" t="n"/>
      <c r="J105" s="157" t="n"/>
      <c r="K105" s="157" t="n"/>
      <c r="L105" s="157" t="n"/>
      <c r="M105" s="157" t="n"/>
      <c r="N105" s="157" t="n"/>
      <c r="O105" s="157" t="n"/>
    </row>
    <row r="106" ht="19" customHeight="1" s="63">
      <c r="A106" s="134" t="n">
        <v>67</v>
      </c>
      <c r="B106" s="136" t="inlineStr">
        <is>
          <t>Supply Chain</t>
        </is>
      </c>
      <c r="C106" s="136" t="inlineStr">
        <is>
          <t>-</t>
        </is>
      </c>
      <c r="D106" s="135" t="inlineStr">
        <is>
          <t>Rosmaniza Arbain</t>
        </is>
      </c>
      <c r="E106" s="134" t="inlineStr">
        <is>
          <t>JKS0380</t>
        </is>
      </c>
      <c r="F106" s="136" t="inlineStr">
        <is>
          <t>ros</t>
        </is>
      </c>
      <c r="G106" s="134" t="inlineStr">
        <is>
          <t>Tier 5: Standard Staff</t>
        </is>
      </c>
      <c r="H106" s="136" t="inlineStr">
        <is>
          <t>MT3020</t>
        </is>
      </c>
      <c r="I106" s="135" t="inlineStr">
        <is>
          <t>DES1911W06003 / DESKTOP-KRGLIE7</t>
        </is>
      </c>
      <c r="J106" s="134" t="inlineStr">
        <is>
          <t>Dell</t>
        </is>
      </c>
      <c r="K106" s="158" t="inlineStr">
        <is>
          <t>Owned (deployed)</t>
        </is>
      </c>
      <c r="L106" s="134" t="inlineStr">
        <is>
          <t>2010-10-27</t>
        </is>
      </c>
      <c r="M106" s="137" t="inlineStr">
        <is>
          <t>In 2019 Baseline</t>
        </is>
      </c>
      <c r="N106" s="159" t="n"/>
      <c r="O106" s="136" t="inlineStr"/>
    </row>
    <row r="107" ht="19" customHeight="1" s="63">
      <c r="A107" s="141" t="n">
        <v>68</v>
      </c>
      <c r="B107" s="143" t="inlineStr">
        <is>
          <t>Supply Chain</t>
        </is>
      </c>
      <c r="C107" s="143" t="inlineStr">
        <is>
          <t>-</t>
        </is>
      </c>
      <c r="D107" s="142" t="inlineStr">
        <is>
          <t>Selvakumaran Ramasamy</t>
        </is>
      </c>
      <c r="E107" s="141" t="inlineStr">
        <is>
          <t>JKS0772</t>
        </is>
      </c>
      <c r="F107" s="143" t="inlineStr">
        <is>
          <t>selva.ramasamy</t>
        </is>
      </c>
      <c r="G107" s="141" t="inlineStr">
        <is>
          <t>Tier 5: Standard Staff</t>
        </is>
      </c>
      <c r="H107" s="143" t="inlineStr">
        <is>
          <t>MT3020</t>
        </is>
      </c>
      <c r="I107" s="142" t="inlineStr">
        <is>
          <t>DES1911W06004 / DESKTOP-GRFI3SS</t>
        </is>
      </c>
      <c r="J107" s="141" t="inlineStr">
        <is>
          <t>Dell</t>
        </is>
      </c>
      <c r="K107" s="158" t="inlineStr">
        <is>
          <t>Owned (deployed)</t>
        </is>
      </c>
      <c r="L107" s="141" t="inlineStr">
        <is>
          <t>2017-08-15</t>
        </is>
      </c>
      <c r="M107" s="144" t="inlineStr">
        <is>
          <t>In 2019 Baseline</t>
        </is>
      </c>
      <c r="N107" s="159" t="n"/>
      <c r="O107" s="143" t="inlineStr"/>
    </row>
    <row r="108" ht="19" customHeight="1" s="63">
      <c r="A108" s="134" t="n">
        <v>69</v>
      </c>
      <c r="B108" s="136" t="inlineStr">
        <is>
          <t>Supply Chain</t>
        </is>
      </c>
      <c r="C108" s="136" t="inlineStr">
        <is>
          <t>-</t>
        </is>
      </c>
      <c r="D108" s="135" t="inlineStr">
        <is>
          <t>Aina Roslan</t>
        </is>
      </c>
      <c r="E108" s="134" t="inlineStr">
        <is>
          <t>JKS0827</t>
        </is>
      </c>
      <c r="F108" s="136" t="inlineStr">
        <is>
          <t>aina.roslan</t>
        </is>
      </c>
      <c r="G108" s="134" t="inlineStr">
        <is>
          <t>Tier 5: Standard Staff</t>
        </is>
      </c>
      <c r="H108" s="136" t="inlineStr">
        <is>
          <t>E5470</t>
        </is>
      </c>
      <c r="I108" s="135" t="inlineStr">
        <is>
          <t>DESKTOP-91986</t>
        </is>
      </c>
      <c r="J108" s="134" t="inlineStr">
        <is>
          <t>Dell</t>
        </is>
      </c>
      <c r="K108" s="149" t="inlineStr">
        <is>
          <t>Leased (deployed)</t>
        </is>
      </c>
      <c r="L108" s="134" t="inlineStr">
        <is>
          <t>2018-05-29</t>
        </is>
      </c>
      <c r="M108" s="137" t="inlineStr">
        <is>
          <t>In 2019 Baseline</t>
        </is>
      </c>
      <c r="N108" s="159" t="n"/>
      <c r="O108" s="136" t="inlineStr"/>
    </row>
    <row r="109" ht="19" customHeight="1" s="63">
      <c r="A109" s="141" t="n">
        <v>70</v>
      </c>
      <c r="B109" s="143" t="inlineStr">
        <is>
          <t>Supply Chain</t>
        </is>
      </c>
      <c r="C109" s="143" t="inlineStr">
        <is>
          <t>-</t>
        </is>
      </c>
      <c r="D109" s="142" t="inlineStr">
        <is>
          <t>Rosmaniza Arbain</t>
        </is>
      </c>
      <c r="E109" s="141" t="inlineStr">
        <is>
          <t>JKS0380</t>
        </is>
      </c>
      <c r="F109" s="143" t="inlineStr">
        <is>
          <t>ros</t>
        </is>
      </c>
      <c r="G109" s="141" t="inlineStr">
        <is>
          <t>Tier 5: Standard Staff</t>
        </is>
      </c>
      <c r="H109" s="143" t="inlineStr">
        <is>
          <t>E5470</t>
        </is>
      </c>
      <c r="I109" s="142" t="inlineStr">
        <is>
          <t>DESKTOP-91967</t>
        </is>
      </c>
      <c r="J109" s="141" t="inlineStr">
        <is>
          <t>Dell</t>
        </is>
      </c>
      <c r="K109" s="149" t="inlineStr">
        <is>
          <t>Leased (deployed)</t>
        </is>
      </c>
      <c r="L109" s="141" t="inlineStr">
        <is>
          <t>2010-10-27</t>
        </is>
      </c>
      <c r="M109" s="144" t="inlineStr">
        <is>
          <t>In 2019 Baseline</t>
        </is>
      </c>
      <c r="N109" s="159" t="n"/>
      <c r="O109" s="143" t="inlineStr"/>
    </row>
    <row r="110" ht="19" customHeight="1" s="63">
      <c r="A110" s="134" t="n">
        <v>71</v>
      </c>
      <c r="B110" s="136" t="inlineStr">
        <is>
          <t>Supply Chain</t>
        </is>
      </c>
      <c r="C110" s="136" t="inlineStr">
        <is>
          <t>-</t>
        </is>
      </c>
      <c r="D110" s="135" t="inlineStr">
        <is>
          <t>Aida Misri</t>
        </is>
      </c>
      <c r="E110" s="134" t="inlineStr">
        <is>
          <t>JKS0960</t>
        </is>
      </c>
      <c r="F110" s="136" t="inlineStr">
        <is>
          <t>aida.misri</t>
        </is>
      </c>
      <c r="G110" s="134" t="inlineStr">
        <is>
          <t>Tier 5: Standard Staff</t>
        </is>
      </c>
      <c r="H110" s="136" t="inlineStr">
        <is>
          <t>E5470</t>
        </is>
      </c>
      <c r="I110" s="135" t="inlineStr">
        <is>
          <t>DESKTOP-X1115</t>
        </is>
      </c>
      <c r="J110" s="134" t="inlineStr">
        <is>
          <t>Dell</t>
        </is>
      </c>
      <c r="K110" s="149" t="inlineStr">
        <is>
          <t>Leased (deployed)</t>
        </is>
      </c>
      <c r="L110" s="134" t="inlineStr">
        <is>
          <t>2023-09-04</t>
        </is>
      </c>
      <c r="M110" s="160" t="inlineStr">
        <is>
          <t>Post-2019 Hire (2023)</t>
        </is>
      </c>
      <c r="N110" s="159" t="n"/>
      <c r="O110" s="136" t="inlineStr"/>
    </row>
    <row r="111" ht="19" customHeight="1" s="63">
      <c r="A111" s="141" t="n">
        <v>72</v>
      </c>
      <c r="B111" s="143" t="inlineStr">
        <is>
          <t>Supply Chain</t>
        </is>
      </c>
      <c r="C111" s="143" t="inlineStr">
        <is>
          <t>-</t>
        </is>
      </c>
      <c r="D111" s="142" t="inlineStr">
        <is>
          <t>Shuada Ayub</t>
        </is>
      </c>
      <c r="E111" s="141" t="inlineStr">
        <is>
          <t>-</t>
        </is>
      </c>
      <c r="F111" s="143" t="inlineStr">
        <is>
          <t>gen</t>
        </is>
      </c>
      <c r="G111" s="141" t="inlineStr">
        <is>
          <t>Tier 5: Standard Staff</t>
        </is>
      </c>
      <c r="H111" s="143" t="inlineStr">
        <is>
          <t>E5470</t>
        </is>
      </c>
      <c r="I111" s="142" t="inlineStr">
        <is>
          <t>DESKTOP-91944</t>
        </is>
      </c>
      <c r="J111" s="141" t="inlineStr">
        <is>
          <t>Dell</t>
        </is>
      </c>
      <c r="K111" s="149" t="inlineStr">
        <is>
          <t>Leased (deployed)</t>
        </is>
      </c>
      <c r="L111" s="141" t="inlineStr">
        <is>
          <t>Active (Unverified)</t>
        </is>
      </c>
      <c r="M111" s="161" t="inlineStr">
        <is>
          <t>Post-2019 Hire (Recent)</t>
        </is>
      </c>
      <c r="N111" s="159" t="n"/>
      <c r="O111" s="143" t="inlineStr"/>
    </row>
    <row r="112" ht="19" customHeight="1" s="63">
      <c r="A112" s="134" t="n">
        <v>73</v>
      </c>
      <c r="B112" s="136" t="inlineStr">
        <is>
          <t>Supply Chain</t>
        </is>
      </c>
      <c r="C112" s="136" t="inlineStr">
        <is>
          <t>-</t>
        </is>
      </c>
      <c r="D112" s="135" t="inlineStr">
        <is>
          <t>Ng Wei Peng</t>
        </is>
      </c>
      <c r="E112" s="134" t="inlineStr">
        <is>
          <t>JKS0897</t>
        </is>
      </c>
      <c r="F112" s="136" t="inlineStr">
        <is>
          <t>weipeng.ng</t>
        </is>
      </c>
      <c r="G112" s="134" t="inlineStr">
        <is>
          <t>Tier 5: Standard Staff</t>
        </is>
      </c>
      <c r="H112" s="136" t="inlineStr">
        <is>
          <t>E5470</t>
        </is>
      </c>
      <c r="I112" s="135" t="inlineStr">
        <is>
          <t>DESKTOP-91978</t>
        </is>
      </c>
      <c r="J112" s="134" t="inlineStr">
        <is>
          <t>Dell</t>
        </is>
      </c>
      <c r="K112" s="149" t="inlineStr">
        <is>
          <t>Leased (deployed)</t>
        </is>
      </c>
      <c r="L112" s="134" t="inlineStr">
        <is>
          <t>2020-10-01</t>
        </is>
      </c>
      <c r="M112" s="160" t="inlineStr">
        <is>
          <t>Post-2019 Hire (2020)</t>
        </is>
      </c>
      <c r="N112" s="159" t="n"/>
      <c r="O112" s="136" t="inlineStr"/>
    </row>
    <row r="113" ht="20" customHeight="1" s="63">
      <c r="A113" s="156" t="inlineStr">
        <is>
          <t>■ TECHNO-COMMERCIAL (6 Active Units: 2 Owned, 4 Leased)</t>
        </is>
      </c>
      <c r="B113" s="157" t="n"/>
      <c r="C113" s="157" t="n"/>
      <c r="D113" s="157" t="n"/>
      <c r="E113" s="157" t="n"/>
      <c r="F113" s="157" t="n"/>
      <c r="G113" s="157" t="n"/>
      <c r="H113" s="157" t="n"/>
      <c r="I113" s="157" t="n"/>
      <c r="J113" s="157" t="n"/>
      <c r="K113" s="157" t="n"/>
      <c r="L113" s="157" t="n"/>
      <c r="M113" s="157" t="n"/>
      <c r="N113" s="157" t="n"/>
      <c r="O113" s="157" t="n"/>
    </row>
    <row r="114" ht="19" customHeight="1" s="63">
      <c r="A114" s="141" t="n">
        <v>74</v>
      </c>
      <c r="B114" s="143" t="inlineStr">
        <is>
          <t>Techno-Commercial</t>
        </is>
      </c>
      <c r="C114" s="143" t="inlineStr">
        <is>
          <t>-</t>
        </is>
      </c>
      <c r="D114" s="142" t="inlineStr">
        <is>
          <t>Yeoh Chin Huat</t>
        </is>
      </c>
      <c r="E114" s="141" t="inlineStr">
        <is>
          <t>JKS0017</t>
        </is>
      </c>
      <c r="F114" s="143" t="inlineStr">
        <is>
          <t>ych</t>
        </is>
      </c>
      <c r="G114" s="141" t="inlineStr">
        <is>
          <t>Tier 2: Designer / R&amp;D Workstation</t>
        </is>
      </c>
      <c r="H114" s="143" t="inlineStr">
        <is>
          <t>P14s</t>
        </is>
      </c>
      <c r="I114" s="142" t="inlineStr">
        <is>
          <t>LAP2112W36002</t>
        </is>
      </c>
      <c r="J114" s="141" t="inlineStr">
        <is>
          <t>Lenovo</t>
        </is>
      </c>
      <c r="K114" s="158" t="inlineStr">
        <is>
          <t>Owned (deployed)</t>
        </is>
      </c>
      <c r="L114" s="141" t="inlineStr">
        <is>
          <t>2004-02-09</t>
        </is>
      </c>
      <c r="M114" s="144" t="inlineStr">
        <is>
          <t>In 2019 Baseline</t>
        </is>
      </c>
      <c r="N114" s="159" t="n"/>
      <c r="O114" s="143" t="inlineStr"/>
    </row>
    <row r="115" ht="19" customHeight="1" s="63">
      <c r="A115" s="134" t="n">
        <v>75</v>
      </c>
      <c r="B115" s="136" t="inlineStr">
        <is>
          <t>Techno-Commercial</t>
        </is>
      </c>
      <c r="C115" s="136" t="inlineStr">
        <is>
          <t>-</t>
        </is>
      </c>
      <c r="D115" s="135" t="inlineStr">
        <is>
          <t>Kok Keng Yeu</t>
        </is>
      </c>
      <c r="E115" s="134" t="inlineStr">
        <is>
          <t>-</t>
        </is>
      </c>
      <c r="F115" s="136" t="inlineStr">
        <is>
          <t>kengyeu.kok</t>
        </is>
      </c>
      <c r="G115" s="134" t="inlineStr">
        <is>
          <t>Tier 4: Managerial / BD / TC</t>
        </is>
      </c>
      <c r="H115" s="136" t="inlineStr">
        <is>
          <t>Latitude 5520</t>
        </is>
      </c>
      <c r="I115" s="135" t="inlineStr">
        <is>
          <t>JKS-IT-2512-324</t>
        </is>
      </c>
      <c r="J115" s="134" t="inlineStr">
        <is>
          <t>Dell</t>
        </is>
      </c>
      <c r="K115" s="158" t="inlineStr">
        <is>
          <t>Owned (deployed)</t>
        </is>
      </c>
      <c r="L115" s="134" t="inlineStr">
        <is>
          <t>Active (Unverified)</t>
        </is>
      </c>
      <c r="M115" s="160" t="inlineStr">
        <is>
          <t>Post-2019 Hire (Recent)</t>
        </is>
      </c>
      <c r="N115" s="159" t="n"/>
      <c r="O115" s="136" t="inlineStr"/>
    </row>
    <row r="116" ht="19" customHeight="1" s="63">
      <c r="A116" s="141" t="n">
        <v>76</v>
      </c>
      <c r="B116" s="143" t="inlineStr">
        <is>
          <t>Techno-Commercial</t>
        </is>
      </c>
      <c r="C116" s="143" t="inlineStr">
        <is>
          <t>-</t>
        </is>
      </c>
      <c r="D116" s="142" t="inlineStr">
        <is>
          <t>Ong Cheng Seang</t>
        </is>
      </c>
      <c r="E116" s="141" t="inlineStr">
        <is>
          <t>-</t>
        </is>
      </c>
      <c r="F116" s="143" t="inlineStr">
        <is>
          <t>chengseang.ong</t>
        </is>
      </c>
      <c r="G116" s="141" t="inlineStr">
        <is>
          <t>Tier 4: Managerial / BD / TC</t>
        </is>
      </c>
      <c r="H116" s="143" t="inlineStr">
        <is>
          <t>E5470</t>
        </is>
      </c>
      <c r="I116" s="142" t="inlineStr">
        <is>
          <t>DESKTOP-91947</t>
        </is>
      </c>
      <c r="J116" s="141" t="inlineStr">
        <is>
          <t>Dell</t>
        </is>
      </c>
      <c r="K116" s="149" t="inlineStr">
        <is>
          <t>Leased (deployed)</t>
        </is>
      </c>
      <c r="L116" s="141" t="inlineStr">
        <is>
          <t>Active (Unverified)</t>
        </is>
      </c>
      <c r="M116" s="161" t="inlineStr">
        <is>
          <t>Post-2019 Hire (Recent)</t>
        </is>
      </c>
      <c r="N116" s="159" t="n"/>
      <c r="O116" s="143" t="inlineStr"/>
    </row>
    <row r="117" ht="19" customHeight="1" s="63">
      <c r="A117" s="134" t="n">
        <v>77</v>
      </c>
      <c r="B117" s="136" t="inlineStr">
        <is>
          <t>Techno-Commercial</t>
        </is>
      </c>
      <c r="C117" s="136" t="inlineStr">
        <is>
          <t>-</t>
        </is>
      </c>
      <c r="D117" s="135" t="inlineStr">
        <is>
          <t>Syukri Hayattudin</t>
        </is>
      </c>
      <c r="E117" s="134" t="inlineStr">
        <is>
          <t>JKS0970</t>
        </is>
      </c>
      <c r="F117" s="136" t="inlineStr">
        <is>
          <t>syukri.hayattudin</t>
        </is>
      </c>
      <c r="G117" s="134" t="inlineStr">
        <is>
          <t>Tier 4: Managerial / BD / TC</t>
        </is>
      </c>
      <c r="H117" s="136" t="inlineStr">
        <is>
          <t>T14</t>
        </is>
      </c>
      <c r="I117" s="135" t="inlineStr">
        <is>
          <t>DESKTOP-B0209</t>
        </is>
      </c>
      <c r="J117" s="134" t="inlineStr">
        <is>
          <t>Lenovo</t>
        </is>
      </c>
      <c r="K117" s="149" t="inlineStr">
        <is>
          <t>Leased (deployed)</t>
        </is>
      </c>
      <c r="L117" s="134" t="inlineStr">
        <is>
          <t>2024-01-08</t>
        </is>
      </c>
      <c r="M117" s="160" t="inlineStr">
        <is>
          <t>Post-2019 Hire (2024)</t>
        </is>
      </c>
      <c r="N117" s="159" t="n"/>
      <c r="O117" s="136" t="inlineStr"/>
    </row>
    <row r="118" ht="19" customHeight="1" s="63">
      <c r="A118" s="141" t="n">
        <v>78</v>
      </c>
      <c r="B118" s="143" t="inlineStr">
        <is>
          <t>Techno-Commercial</t>
        </is>
      </c>
      <c r="C118" s="143" t="inlineStr">
        <is>
          <t>-</t>
        </is>
      </c>
      <c r="D118" s="142" t="inlineStr">
        <is>
          <t>Lim Jun Yoong</t>
        </is>
      </c>
      <c r="E118" s="141" t="inlineStr">
        <is>
          <t>JKS0940</t>
        </is>
      </c>
      <c r="F118" s="143" t="inlineStr">
        <is>
          <t>junyoong.lim</t>
        </is>
      </c>
      <c r="G118" s="141" t="inlineStr">
        <is>
          <t>Tier 4: Managerial / BD / TC</t>
        </is>
      </c>
      <c r="H118" s="143" t="inlineStr">
        <is>
          <t>T14</t>
        </is>
      </c>
      <c r="I118" s="142" t="inlineStr">
        <is>
          <t>DESKTOP-B0217</t>
        </is>
      </c>
      <c r="J118" s="141" t="inlineStr">
        <is>
          <t>Lenovo</t>
        </is>
      </c>
      <c r="K118" s="149" t="inlineStr">
        <is>
          <t>Leased (deployed)</t>
        </is>
      </c>
      <c r="L118" s="141" t="inlineStr">
        <is>
          <t>2022-09-12</t>
        </is>
      </c>
      <c r="M118" s="161" t="inlineStr">
        <is>
          <t>Post-2019 Hire (2022)</t>
        </is>
      </c>
      <c r="N118" s="159" t="n"/>
      <c r="O118" s="143" t="inlineStr"/>
    </row>
    <row r="119" ht="19" customHeight="1" s="63">
      <c r="A119" s="134" t="n">
        <v>79</v>
      </c>
      <c r="B119" s="136" t="inlineStr">
        <is>
          <t>Techno-Commercial</t>
        </is>
      </c>
      <c r="C119" s="136" t="inlineStr">
        <is>
          <t>-</t>
        </is>
      </c>
      <c r="D119" s="135" t="inlineStr">
        <is>
          <t>Tan Sien Siang</t>
        </is>
      </c>
      <c r="E119" s="134" t="inlineStr">
        <is>
          <t>JKS1000</t>
        </is>
      </c>
      <c r="F119" s="136" t="inlineStr">
        <is>
          <t>siensiang.tan</t>
        </is>
      </c>
      <c r="G119" s="134" t="inlineStr">
        <is>
          <t>Tier 4: Managerial / BD / TC</t>
        </is>
      </c>
      <c r="H119" s="136" t="inlineStr">
        <is>
          <t>T14</t>
        </is>
      </c>
      <c r="I119" s="135" t="inlineStr">
        <is>
          <t>JKS-IT-2508-316</t>
        </is>
      </c>
      <c r="J119" s="134" t="inlineStr">
        <is>
          <t>Lenovo</t>
        </is>
      </c>
      <c r="K119" s="149" t="inlineStr">
        <is>
          <t>Leased (deployed)</t>
        </is>
      </c>
      <c r="L119" s="134" t="inlineStr">
        <is>
          <t>2026-01-05</t>
        </is>
      </c>
      <c r="M119" s="160" t="inlineStr">
        <is>
          <t>Post-2019 Hire (2026)</t>
        </is>
      </c>
      <c r="N119" s="159" t="n"/>
      <c r="O119" s="136" t="inlineStr"/>
    </row>
    <row r="120" ht="20" customHeight="1" s="63">
      <c r="A120" s="156" t="inlineStr">
        <is>
          <t>■ TECHNOLOGY - RND (7 Active Units: 7 Owned, 0 Leased)</t>
        </is>
      </c>
      <c r="B120" s="157" t="n"/>
      <c r="C120" s="157" t="n"/>
      <c r="D120" s="157" t="n"/>
      <c r="E120" s="157" t="n"/>
      <c r="F120" s="157" t="n"/>
      <c r="G120" s="157" t="n"/>
      <c r="H120" s="157" t="n"/>
      <c r="I120" s="157" t="n"/>
      <c r="J120" s="157" t="n"/>
      <c r="K120" s="157" t="n"/>
      <c r="L120" s="157" t="n"/>
      <c r="M120" s="157" t="n"/>
      <c r="N120" s="157" t="n"/>
      <c r="O120" s="157" t="n"/>
    </row>
    <row r="121" ht="19" customHeight="1" s="63">
      <c r="A121" s="141" t="n">
        <v>80</v>
      </c>
      <c r="B121" s="143" t="inlineStr">
        <is>
          <t>Technology</t>
        </is>
      </c>
      <c r="C121" s="143" t="inlineStr">
        <is>
          <t>RND</t>
        </is>
      </c>
      <c r="D121" s="142" t="inlineStr">
        <is>
          <t>Morsal Mustaffa</t>
        </is>
      </c>
      <c r="E121" s="141" t="inlineStr">
        <is>
          <t>JKS0033</t>
        </is>
      </c>
      <c r="F121" s="143" t="inlineStr">
        <is>
          <t>amm</t>
        </is>
      </c>
      <c r="G121" s="141" t="inlineStr">
        <is>
          <t>Tier 2: Designer / R&amp;D Workstation</t>
        </is>
      </c>
      <c r="H121" s="143" t="inlineStr">
        <is>
          <t>P14s</t>
        </is>
      </c>
      <c r="I121" s="142" t="inlineStr">
        <is>
          <t>LAP2112W60005</t>
        </is>
      </c>
      <c r="J121" s="141" t="inlineStr">
        <is>
          <t>Lenovo</t>
        </is>
      </c>
      <c r="K121" s="158" t="inlineStr">
        <is>
          <t>Owned (deployed)</t>
        </is>
      </c>
      <c r="L121" s="141" t="inlineStr">
        <is>
          <t>2004-06-15</t>
        </is>
      </c>
      <c r="M121" s="144" t="inlineStr">
        <is>
          <t>In 2019 Baseline</t>
        </is>
      </c>
      <c r="N121" s="159" t="n"/>
      <c r="O121" s="143" t="inlineStr"/>
    </row>
    <row r="122" ht="19" customHeight="1" s="63">
      <c r="A122" s="134" t="n">
        <v>81</v>
      </c>
      <c r="B122" s="136" t="inlineStr">
        <is>
          <t>Technology</t>
        </is>
      </c>
      <c r="C122" s="136" t="inlineStr">
        <is>
          <t>RND</t>
        </is>
      </c>
      <c r="D122" s="135" t="inlineStr">
        <is>
          <t>Saharom Anis</t>
        </is>
      </c>
      <c r="E122" s="134" t="inlineStr">
        <is>
          <t>JKS0891</t>
        </is>
      </c>
      <c r="F122" s="136" t="inlineStr">
        <is>
          <t>saharom.anis</t>
        </is>
      </c>
      <c r="G122" s="134" t="inlineStr">
        <is>
          <t>Tier 2: Designer / R&amp;D Workstation</t>
        </is>
      </c>
      <c r="H122" s="136" t="inlineStr">
        <is>
          <t>P14s</t>
        </is>
      </c>
      <c r="I122" s="135" t="inlineStr">
        <is>
          <t>LAP2112W60006</t>
        </is>
      </c>
      <c r="J122" s="134" t="inlineStr">
        <is>
          <t>Lenovo</t>
        </is>
      </c>
      <c r="K122" s="158" t="inlineStr">
        <is>
          <t>Owned (deployed)</t>
        </is>
      </c>
      <c r="L122" s="134" t="inlineStr">
        <is>
          <t>2020-07-01</t>
        </is>
      </c>
      <c r="M122" s="160" t="inlineStr">
        <is>
          <t>Post-2019 Hire (2020)</t>
        </is>
      </c>
      <c r="N122" s="159" t="n"/>
      <c r="O122" s="136" t="inlineStr"/>
    </row>
    <row r="123" ht="19" customHeight="1" s="63">
      <c r="A123" s="141" t="n">
        <v>82</v>
      </c>
      <c r="B123" s="143" t="inlineStr">
        <is>
          <t>Technology</t>
        </is>
      </c>
      <c r="C123" s="143" t="inlineStr">
        <is>
          <t>RND</t>
        </is>
      </c>
      <c r="D123" s="142" t="inlineStr">
        <is>
          <t>Eugene Leong Kah Fai</t>
        </is>
      </c>
      <c r="E123" s="141" t="inlineStr">
        <is>
          <t>JKS0954</t>
        </is>
      </c>
      <c r="F123" s="143" t="inlineStr">
        <is>
          <t>kahfai.leong</t>
        </is>
      </c>
      <c r="G123" s="141" t="inlineStr">
        <is>
          <t>Tier 2: Designer / R&amp;D Workstation</t>
        </is>
      </c>
      <c r="H123" s="143" t="n">
        <v>5570</v>
      </c>
      <c r="I123" s="142" t="inlineStr">
        <is>
          <t>LAP1904W15001</t>
        </is>
      </c>
      <c r="J123" s="141" t="inlineStr">
        <is>
          <t>Dell</t>
        </is>
      </c>
      <c r="K123" s="158" t="inlineStr">
        <is>
          <t>Owned (deployed)</t>
        </is>
      </c>
      <c r="L123" s="141" t="inlineStr">
        <is>
          <t>2023-06-01</t>
        </is>
      </c>
      <c r="M123" s="161" t="inlineStr">
        <is>
          <t>Post-2019 Hire (2023)</t>
        </is>
      </c>
      <c r="N123" s="159" t="n"/>
      <c r="O123" s="143" t="inlineStr"/>
    </row>
    <row r="124" ht="19" customHeight="1" s="63">
      <c r="A124" s="134" t="n">
        <v>83</v>
      </c>
      <c r="B124" s="136" t="inlineStr">
        <is>
          <t>Technology</t>
        </is>
      </c>
      <c r="C124" s="136" t="inlineStr">
        <is>
          <t>RND</t>
        </is>
      </c>
      <c r="D124" s="135" t="inlineStr">
        <is>
          <t>Lee Khai Hoe</t>
        </is>
      </c>
      <c r="E124" s="134" t="inlineStr">
        <is>
          <t>JKS0971</t>
        </is>
      </c>
      <c r="F124" s="136" t="inlineStr">
        <is>
          <t>khaihoe.lee</t>
        </is>
      </c>
      <c r="G124" s="134" t="inlineStr">
        <is>
          <t>Tier 2: Designer / R&amp;D Workstation</t>
        </is>
      </c>
      <c r="H124" s="136" t="inlineStr">
        <is>
          <t>P14s</t>
        </is>
      </c>
      <c r="I124" s="135" t="inlineStr">
        <is>
          <t>LAP2112W60008</t>
        </is>
      </c>
      <c r="J124" s="134" t="inlineStr">
        <is>
          <t>Lenovo</t>
        </is>
      </c>
      <c r="K124" s="158" t="inlineStr">
        <is>
          <t>Owned (deployed)</t>
        </is>
      </c>
      <c r="L124" s="134" t="inlineStr">
        <is>
          <t>2024-02-01</t>
        </is>
      </c>
      <c r="M124" s="160" t="inlineStr">
        <is>
          <t>Post-2019 Hire (2024)</t>
        </is>
      </c>
      <c r="N124" s="159" t="n"/>
      <c r="O124" s="136" t="inlineStr"/>
    </row>
    <row r="125" ht="19" customHeight="1" s="63">
      <c r="A125" s="141" t="n">
        <v>84</v>
      </c>
      <c r="B125" s="143" t="inlineStr">
        <is>
          <t>Technology</t>
        </is>
      </c>
      <c r="C125" s="143" t="inlineStr">
        <is>
          <t>RND</t>
        </is>
      </c>
      <c r="D125" s="142" t="inlineStr">
        <is>
          <t>Tara Rhhutrashiny Berasamy</t>
        </is>
      </c>
      <c r="E125" s="141" t="inlineStr">
        <is>
          <t>JKS0998</t>
        </is>
      </c>
      <c r="F125" s="143" t="inlineStr">
        <is>
          <t>rhhutrashiny.berasamy</t>
        </is>
      </c>
      <c r="G125" s="141" t="inlineStr">
        <is>
          <t>Tier 2: Designer / R&amp;D Workstation</t>
        </is>
      </c>
      <c r="H125" s="143" t="n">
        <v>3420</v>
      </c>
      <c r="I125" s="142" t="inlineStr">
        <is>
          <t>LAP2110W60001</t>
        </is>
      </c>
      <c r="J125" s="141" t="inlineStr">
        <is>
          <t>Dell</t>
        </is>
      </c>
      <c r="K125" s="158" t="inlineStr">
        <is>
          <t>Owned (deployed)</t>
        </is>
      </c>
      <c r="L125" s="141" t="inlineStr">
        <is>
          <t>2025-11-26</t>
        </is>
      </c>
      <c r="M125" s="161" t="inlineStr">
        <is>
          <t>Post-2019 Hire (2025)</t>
        </is>
      </c>
      <c r="N125" s="159" t="n"/>
      <c r="O125" s="143" t="inlineStr"/>
    </row>
    <row r="126" ht="19" customHeight="1" s="63">
      <c r="A126" s="134" t="n">
        <v>85</v>
      </c>
      <c r="B126" s="136" t="inlineStr">
        <is>
          <t>Technology</t>
        </is>
      </c>
      <c r="C126" s="136" t="inlineStr">
        <is>
          <t>RND</t>
        </is>
      </c>
      <c r="D126" s="135" t="inlineStr">
        <is>
          <t>Yogeswaran Mohan</t>
        </is>
      </c>
      <c r="E126" s="134" t="inlineStr">
        <is>
          <t>JKS0643</t>
        </is>
      </c>
      <c r="F126" s="136" t="inlineStr">
        <is>
          <t>yog</t>
        </is>
      </c>
      <c r="G126" s="134" t="inlineStr">
        <is>
          <t>Tier 1: HOD / Director</t>
        </is>
      </c>
      <c r="H126" s="136" t="inlineStr">
        <is>
          <t>16P Gen 2 ACH</t>
        </is>
      </c>
      <c r="I126" s="135" t="inlineStr">
        <is>
          <t>LAPTOP-U64859LA</t>
        </is>
      </c>
      <c r="J126" s="134" t="inlineStr">
        <is>
          <t>Lenovo</t>
        </is>
      </c>
      <c r="K126" s="158" t="inlineStr">
        <is>
          <t>Owned (deployed)</t>
        </is>
      </c>
      <c r="L126" s="134" t="inlineStr">
        <is>
          <t>2017-12-01</t>
        </is>
      </c>
      <c r="M126" s="137" t="inlineStr">
        <is>
          <t>In 2019 Baseline</t>
        </is>
      </c>
      <c r="N126" s="159" t="n"/>
      <c r="O126" s="136" t="inlineStr"/>
    </row>
    <row r="127" ht="19" customHeight="1" s="63">
      <c r="A127" s="141" t="n">
        <v>86</v>
      </c>
      <c r="B127" s="143" t="inlineStr">
        <is>
          <t>Technology</t>
        </is>
      </c>
      <c r="C127" s="143" t="inlineStr">
        <is>
          <t>RND</t>
        </is>
      </c>
      <c r="D127" s="142" t="inlineStr">
        <is>
          <t>Phua Yue Xin</t>
        </is>
      </c>
      <c r="E127" s="141" t="inlineStr">
        <is>
          <t>JKS0990</t>
        </is>
      </c>
      <c r="F127" s="143" t="inlineStr">
        <is>
          <t>yuexin.phua</t>
        </is>
      </c>
      <c r="G127" s="141" t="inlineStr">
        <is>
          <t>Tier 2: Designer / R&amp;D Workstation</t>
        </is>
      </c>
      <c r="H127" s="143" t="n">
        <v>5400</v>
      </c>
      <c r="I127" s="142" t="inlineStr">
        <is>
          <t>JKS-IT-2311-257</t>
        </is>
      </c>
      <c r="J127" s="141" t="inlineStr">
        <is>
          <t>Dell</t>
        </is>
      </c>
      <c r="K127" s="158" t="inlineStr">
        <is>
          <t>Owned (deployed)</t>
        </is>
      </c>
      <c r="L127" s="141" t="inlineStr">
        <is>
          <t>2025-09-08</t>
        </is>
      </c>
      <c r="M127" s="161" t="inlineStr">
        <is>
          <t>Post-2019 Hire (2025)</t>
        </is>
      </c>
      <c r="N127" s="159" t="n"/>
      <c r="O127" s="143" t="inlineStr"/>
    </row>
    <row r="128" ht="24" customHeight="1" s="63">
      <c r="A128" s="150" t="inlineStr">
        <is>
          <t>TOTAL</t>
        </is>
      </c>
      <c r="B128" s="151" t="inlineStr">
        <is>
          <t>All 17 Groups</t>
        </is>
      </c>
      <c r="C128" s="152" t="inlineStr">
        <is>
          <t>-</t>
        </is>
      </c>
      <c r="D128" s="151" t="inlineStr">
        <is>
          <t>86 Active Units (Staff &amp; Stations)</t>
        </is>
      </c>
      <c r="E128" s="162" t="n"/>
      <c r="F128" s="162" t="n"/>
      <c r="G128" s="162" t="n"/>
      <c r="H128" s="162" t="n"/>
      <c r="I128" s="162" t="n"/>
      <c r="J128" s="162" t="n"/>
      <c r="K128" s="150" t="inlineStr">
        <is>
          <t>70 Own / 16 Lease</t>
        </is>
      </c>
      <c r="L128" s="162" t="n"/>
      <c r="M128" s="150" t="inlineStr">
        <is>
          <t>29 In 2019 / 57 Post-2019</t>
        </is>
      </c>
      <c r="N128" s="150">
        <f>COUNTA(N27:N127)</f>
        <v/>
      </c>
      <c r="O128" s="151" t="inlineStr">
        <is>
          <t>Device Tag Reconciliation Area</t>
        </is>
      </c>
    </row>
  </sheetData>
  <mergeCells count="19">
    <mergeCell ref="A25:O25"/>
    <mergeCell ref="A54:O54"/>
    <mergeCell ref="A66:O66"/>
    <mergeCell ref="A84:O84"/>
    <mergeCell ref="A27:O27"/>
    <mergeCell ref="A89:O89"/>
    <mergeCell ref="A120:O120"/>
    <mergeCell ref="A105:O105"/>
    <mergeCell ref="A113:O113"/>
    <mergeCell ref="A2:O2"/>
    <mergeCell ref="A32:O32"/>
    <mergeCell ref="A4:O4"/>
    <mergeCell ref="A81:O81"/>
    <mergeCell ref="A63:O63"/>
    <mergeCell ref="A59:O59"/>
    <mergeCell ref="A73:O73"/>
    <mergeCell ref="A1:O1"/>
    <mergeCell ref="A45:O45"/>
    <mergeCell ref="A70:O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IT Helpdesk</dc:creator>
  <dcterms:created xmlns:dcterms="http://purl.org/dc/terms/" xmlns:xsi="http://www.w3.org/2001/XMLSchema-instance" xsi:type="dcterms:W3CDTF">2026-08-27T08:52:33Z</dcterms:created>
  <dcterms:modified xmlns:dcterms="http://purl.org/dc/terms/" xmlns:xsi="http://www.w3.org/2001/XMLSchema-instance" xsi:type="dcterms:W3CDTF">2026-09-22T02:37:54Z</dcterms:modified>
  <cp:lastModifiedBy>IT Helpdesk</cp:lastModifiedBy>
</cp:coreProperties>
</file>